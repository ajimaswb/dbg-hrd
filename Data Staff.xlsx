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imas/Library/Mobile Documents/com~apple~CloudDocs/Project/DBG-hrd/"/>
    </mc:Choice>
  </mc:AlternateContent>
  <xr:revisionPtr revIDLastSave="0" documentId="13_ncr:1_{C930EB6C-A5DB-DC48-A64B-AEA7761A06CD}" xr6:coauthVersionLast="47" xr6:coauthVersionMax="47" xr10:uidLastSave="{00000000-0000-0000-0000-000000000000}"/>
  <bookViews>
    <workbookView xWindow="17040" yWindow="600" windowWidth="16560" windowHeight="18700" xr2:uid="{AA8DCD7A-C7C9-3148-A3E7-9D38D12C8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1" l="1"/>
  <c r="J16" i="1" s="1"/>
  <c r="J17" i="1"/>
  <c r="I18" i="1"/>
  <c r="I19" i="1"/>
  <c r="J19" i="1" s="1"/>
  <c r="I24" i="1"/>
  <c r="J24" i="1" s="1"/>
  <c r="I25" i="1"/>
  <c r="J25" i="1" s="1"/>
  <c r="I26" i="1"/>
  <c r="I27" i="1"/>
  <c r="I28" i="1"/>
  <c r="J29" i="1"/>
  <c r="L29" i="1" s="1"/>
  <c r="I30" i="1"/>
  <c r="I31" i="1"/>
  <c r="J31" i="1" s="1"/>
  <c r="L31" i="1" s="1"/>
  <c r="I45" i="1"/>
  <c r="I46" i="1"/>
  <c r="J46" i="1" s="1"/>
  <c r="L46" i="1" s="1"/>
  <c r="I47" i="1"/>
  <c r="J47" i="1" s="1"/>
  <c r="L47" i="1" s="1"/>
  <c r="I48" i="1"/>
  <c r="J48" i="1"/>
  <c r="L48" i="1" s="1"/>
  <c r="L45" i="1"/>
  <c r="L41" i="1"/>
  <c r="L40" i="1"/>
  <c r="N39" i="1"/>
  <c r="N37" i="1"/>
  <c r="Q36" i="1"/>
  <c r="N35" i="1"/>
  <c r="L35" i="1"/>
  <c r="Q34" i="1"/>
  <c r="L34" i="1"/>
  <c r="L33" i="1"/>
  <c r="M32" i="1"/>
  <c r="L32" i="1"/>
  <c r="P31" i="1"/>
  <c r="N30" i="1"/>
  <c r="L30" i="1"/>
  <c r="M28" i="1"/>
  <c r="L28" i="1"/>
  <c r="L27" i="1"/>
  <c r="L26" i="1"/>
  <c r="M25" i="1"/>
  <c r="L22" i="1"/>
  <c r="O17" i="1"/>
  <c r="A3" i="1"/>
</calcChain>
</file>

<file path=xl/sharedStrings.xml><?xml version="1.0" encoding="utf-8"?>
<sst xmlns="http://schemas.openxmlformats.org/spreadsheetml/2006/main" count="224" uniqueCount="144">
  <si>
    <t>NO.</t>
  </si>
  <si>
    <t>NIK</t>
  </si>
  <si>
    <t>NAMA</t>
  </si>
  <si>
    <t>Departemen</t>
  </si>
  <si>
    <t>Posisi</t>
  </si>
  <si>
    <t>TGL MASUK</t>
  </si>
  <si>
    <t>NO. REKENING</t>
  </si>
  <si>
    <t>GP 2024</t>
  </si>
  <si>
    <t>GP 2025</t>
  </si>
  <si>
    <t>GAJI POKOK</t>
  </si>
  <si>
    <t>TUNJANGAN JABATAN</t>
  </si>
  <si>
    <t>TUNJANGAN SKILL</t>
  </si>
  <si>
    <t>TUNJANGAN INSENTIF</t>
  </si>
  <si>
    <t>TUNJANGAN MASA KERJA</t>
  </si>
  <si>
    <t>TUNJANGAN TRANSPORT</t>
  </si>
  <si>
    <t xml:space="preserve">GAJI </t>
  </si>
  <si>
    <t>TUNJANGAN ABSEN</t>
  </si>
  <si>
    <t>BRUTO</t>
  </si>
  <si>
    <t>BPJS TK</t>
  </si>
  <si>
    <t>BPJS KES</t>
  </si>
  <si>
    <t>FORUM</t>
  </si>
  <si>
    <t>GANTI RUGI</t>
  </si>
  <si>
    <t>KASBOND</t>
  </si>
  <si>
    <t>POKOK KOPERASI</t>
  </si>
  <si>
    <t>WAJIB KOPERASI</t>
  </si>
  <si>
    <t>SIMPANAN BERSAMA</t>
  </si>
  <si>
    <t>ANGSURAN KOPERASI</t>
  </si>
  <si>
    <t>NETTO</t>
  </si>
  <si>
    <t>ALOKASI</t>
  </si>
  <si>
    <t>Merchandiser</t>
  </si>
  <si>
    <t>Manager</t>
  </si>
  <si>
    <t>HRD</t>
  </si>
  <si>
    <t>Direksi</t>
  </si>
  <si>
    <t>Staff</t>
  </si>
  <si>
    <t>Purchasing</t>
  </si>
  <si>
    <t>QA</t>
  </si>
  <si>
    <t>Produksi</t>
  </si>
  <si>
    <t>Warehouse</t>
  </si>
  <si>
    <t>SPV</t>
  </si>
  <si>
    <t>Sewing</t>
  </si>
  <si>
    <t>PPIC</t>
  </si>
  <si>
    <t>Chief</t>
  </si>
  <si>
    <t>Cutting</t>
  </si>
  <si>
    <t>Kepala produksi</t>
  </si>
  <si>
    <t>DBG120625070</t>
  </si>
  <si>
    <t>Nurul Mardhiyah.H</t>
  </si>
  <si>
    <t>Accounting</t>
  </si>
  <si>
    <t>1390011909664</t>
  </si>
  <si>
    <t>DBG130128164</t>
  </si>
  <si>
    <t>Cholida Hanum</t>
  </si>
  <si>
    <t>Pattern</t>
  </si>
  <si>
    <t>1390017614953</t>
  </si>
  <si>
    <t>DBG1703011487</t>
  </si>
  <si>
    <t>Kholimah</t>
  </si>
  <si>
    <t>Staff Hrd</t>
  </si>
  <si>
    <t>0101527023</t>
  </si>
  <si>
    <t>DBG1608011299</t>
  </si>
  <si>
    <t>Nur Khikmah</t>
  </si>
  <si>
    <t>Staff MD</t>
  </si>
  <si>
    <t>0438015089</t>
  </si>
  <si>
    <t>Tri Retno Wijayanti</t>
  </si>
  <si>
    <t>1390019875628</t>
  </si>
  <si>
    <t>DBG11520525</t>
  </si>
  <si>
    <t>Winarni</t>
  </si>
  <si>
    <t>DBG11530525</t>
  </si>
  <si>
    <t>M.Fariz Humam</t>
  </si>
  <si>
    <t>EXIM</t>
  </si>
  <si>
    <t>DBG12340825</t>
  </si>
  <si>
    <t>Ika Emilia Istiyani</t>
  </si>
  <si>
    <t>DBG1702091470</t>
  </si>
  <si>
    <t>Romelan</t>
  </si>
  <si>
    <t>Mekanik</t>
  </si>
  <si>
    <t>1390017875166</t>
  </si>
  <si>
    <t>DBG120423017</t>
  </si>
  <si>
    <t>Supriyono</t>
  </si>
  <si>
    <t>1390011865874</t>
  </si>
  <si>
    <t>DBG120619062</t>
  </si>
  <si>
    <t>Wakhyono</t>
  </si>
  <si>
    <t>Finishing</t>
  </si>
  <si>
    <t>1390017776562</t>
  </si>
  <si>
    <t>DBG130402190</t>
  </si>
  <si>
    <t>Fery Yunus</t>
  </si>
  <si>
    <t>Cutter</t>
  </si>
  <si>
    <t>0497165910</t>
  </si>
  <si>
    <t>DBG120917085</t>
  </si>
  <si>
    <t>Siti Luwihasih</t>
  </si>
  <si>
    <t>1390012042606</t>
  </si>
  <si>
    <t>DBG1504111077</t>
  </si>
  <si>
    <t>Warim</t>
  </si>
  <si>
    <t>1390016558870</t>
  </si>
  <si>
    <t>DBG20045722304</t>
  </si>
  <si>
    <t>Dedi Lucky</t>
  </si>
  <si>
    <t>30-Agst-21</t>
  </si>
  <si>
    <t>DBG120423022</t>
  </si>
  <si>
    <t>Surati</t>
  </si>
  <si>
    <t>1390011865239</t>
  </si>
  <si>
    <t>DBG1805032211</t>
  </si>
  <si>
    <t>Sugiarti</t>
  </si>
  <si>
    <t>Leader</t>
  </si>
  <si>
    <t>DBG200445827707</t>
  </si>
  <si>
    <t>Dwi Elan Prasetyo</t>
  </si>
  <si>
    <t>DBG180824</t>
  </si>
  <si>
    <t>Rokhim</t>
  </si>
  <si>
    <t>DBG11540525</t>
  </si>
  <si>
    <t>Diki Mardiyanto</t>
  </si>
  <si>
    <t>DBG11800625</t>
  </si>
  <si>
    <t>Nurhayati</t>
  </si>
  <si>
    <t>QC</t>
  </si>
  <si>
    <t>DBG11810625</t>
  </si>
  <si>
    <t>Rizki Saptaningrum</t>
  </si>
  <si>
    <t>DBG11990625</t>
  </si>
  <si>
    <t>Ambarwati</t>
  </si>
  <si>
    <t>DBG12310825</t>
  </si>
  <si>
    <t>Sunardi</t>
  </si>
  <si>
    <t>Sample</t>
  </si>
  <si>
    <t>DBG13780126</t>
  </si>
  <si>
    <t>Wawan Budi Raharjo</t>
  </si>
  <si>
    <t>DBG13800126</t>
  </si>
  <si>
    <t>Suryanto</t>
  </si>
  <si>
    <t>DBG14006426</t>
  </si>
  <si>
    <t>Sudin</t>
  </si>
  <si>
    <t>DBG14022426</t>
  </si>
  <si>
    <t>Tri Waluyo</t>
  </si>
  <si>
    <t>DBG14058426</t>
  </si>
  <si>
    <t>Riki Adi Susanto</t>
  </si>
  <si>
    <t>APW</t>
  </si>
  <si>
    <t>DBG120320004</t>
  </si>
  <si>
    <t>Indratno</t>
  </si>
  <si>
    <t>Security</t>
  </si>
  <si>
    <t>Kepala Security</t>
  </si>
  <si>
    <t>1390012042556</t>
  </si>
  <si>
    <t>DBG131009249</t>
  </si>
  <si>
    <t>Raino</t>
  </si>
  <si>
    <t>0341104525</t>
  </si>
  <si>
    <t>DBG1509281215</t>
  </si>
  <si>
    <t>Adik Yugiyono</t>
  </si>
  <si>
    <t>1390016995825</t>
  </si>
  <si>
    <t>DBG1510151222</t>
  </si>
  <si>
    <t>Bambang Supeno</t>
  </si>
  <si>
    <t>1390017006150</t>
  </si>
  <si>
    <t>Dina sofiana</t>
  </si>
  <si>
    <t>Direktur</t>
  </si>
  <si>
    <t>H.Indah Mas'udah</t>
  </si>
  <si>
    <t>Komisaris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</si>
</sst>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Rp&quot;* #,##0_);_(&quot;Rp&quot;* \(#,##0\);_(&quot;Rp&quot;* &quot;-&quot;_);_(@_)"/>
    <numFmt numFmtId="164" formatCode="[$-409]d\-mmm\-yy;@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Display"/>
      <family val="1"/>
      <scheme val="major"/>
    </font>
    <font>
      <b/>
      <sz val="9"/>
      <name val="Aptos Display"/>
      <family val="1"/>
      <scheme val="major"/>
    </font>
    <font>
      <b/>
      <sz val="8"/>
      <name val="Aptos Display"/>
      <family val="1"/>
      <scheme val="major"/>
    </font>
    <font>
      <sz val="9"/>
      <name val="Cambria"/>
      <family val="1"/>
    </font>
    <font>
      <sz val="9"/>
      <color rgb="FFFF0000"/>
      <name val="Cambria"/>
      <family val="1"/>
    </font>
    <font>
      <sz val="9"/>
      <color theme="7" tint="-0.499984740745262"/>
      <name val="Cambria"/>
      <family val="1"/>
    </font>
    <font>
      <sz val="9"/>
      <color theme="1"/>
      <name val="Cambria"/>
      <family val="1"/>
    </font>
    <font>
      <sz val="9"/>
      <name val="Aptos Display"/>
      <family val="1"/>
      <scheme val="major"/>
    </font>
    <font>
      <sz val="9"/>
      <color theme="7" tint="-0.499984740745262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9">
    <xf numFmtId="0" fontId="0" fillId="0" borderId="0" xfId="0"/>
    <xf numFmtId="42" fontId="2" fillId="0" borderId="1" xfId="1" applyFont="1" applyFill="1" applyBorder="1" applyAlignment="1">
      <alignment horizontal="center" wrapText="1"/>
    </xf>
    <xf numFmtId="42" fontId="3" fillId="0" borderId="1" xfId="1" applyFont="1" applyFill="1" applyBorder="1" applyAlignment="1">
      <alignment horizontal="center" vertical="center" wrapText="1"/>
    </xf>
    <xf numFmtId="42" fontId="4" fillId="0" borderId="1" xfId="1" applyFont="1" applyFill="1" applyBorder="1" applyAlignment="1">
      <alignment horizontal="center" vertical="center" wrapText="1"/>
    </xf>
    <xf numFmtId="42" fontId="5" fillId="0" borderId="1" xfId="1" applyFont="1" applyFill="1" applyBorder="1" applyAlignment="1">
      <alignment horizontal="center"/>
    </xf>
    <xf numFmtId="42" fontId="5" fillId="0" borderId="1" xfId="1" applyFont="1" applyFill="1" applyBorder="1" applyAlignment="1">
      <alignment vertical="center"/>
    </xf>
    <xf numFmtId="42" fontId="5" fillId="0" borderId="1" xfId="1" applyFont="1" applyFill="1" applyBorder="1" applyAlignment="1">
      <alignment horizontal="left" vertical="center"/>
    </xf>
    <xf numFmtId="42" fontId="5" fillId="0" borderId="1" xfId="1" applyFont="1" applyFill="1" applyBorder="1" applyAlignment="1">
      <alignment horizontal="center" vertical="center"/>
    </xf>
    <xf numFmtId="42" fontId="5" fillId="0" borderId="1" xfId="1" quotePrefix="1" applyFont="1" applyFill="1" applyBorder="1" applyAlignment="1">
      <alignment horizontal="center" vertical="center"/>
    </xf>
    <xf numFmtId="42" fontId="5" fillId="0" borderId="1" xfId="1" applyFont="1" applyFill="1" applyBorder="1" applyAlignment="1">
      <alignment horizontal="right" vertical="center"/>
    </xf>
    <xf numFmtId="42" fontId="6" fillId="0" borderId="1" xfId="1" applyFont="1" applyFill="1" applyBorder="1" applyAlignment="1">
      <alignment horizontal="right" vertical="center"/>
    </xf>
    <xf numFmtId="42" fontId="7" fillId="0" borderId="1" xfId="1" applyFont="1" applyFill="1" applyBorder="1" applyAlignment="1">
      <alignment horizontal="center" vertical="center"/>
    </xf>
    <xf numFmtId="42" fontId="8" fillId="0" borderId="1" xfId="1" applyFont="1" applyFill="1" applyBorder="1" applyAlignment="1">
      <alignment horizontal="right" vertical="center"/>
    </xf>
    <xf numFmtId="42" fontId="8" fillId="0" borderId="1" xfId="1" applyFont="1" applyFill="1" applyBorder="1"/>
    <xf numFmtId="42" fontId="5" fillId="0" borderId="1" xfId="1" quotePrefix="1" applyFont="1" applyFill="1" applyBorder="1" applyAlignment="1">
      <alignment horizontal="center"/>
    </xf>
    <xf numFmtId="42" fontId="8" fillId="0" borderId="1" xfId="1" applyFont="1" applyFill="1" applyBorder="1" applyAlignment="1">
      <alignment vertical="center"/>
    </xf>
    <xf numFmtId="42" fontId="8" fillId="0" borderId="1" xfId="1" applyFont="1" applyFill="1" applyBorder="1" applyAlignment="1">
      <alignment horizontal="right"/>
    </xf>
    <xf numFmtId="42" fontId="7" fillId="0" borderId="1" xfId="1" applyFont="1" applyFill="1" applyBorder="1" applyAlignment="1">
      <alignment horizontal="right" vertical="center"/>
    </xf>
    <xf numFmtId="42" fontId="7" fillId="0" borderId="1" xfId="1" applyFont="1" applyFill="1" applyBorder="1" applyAlignment="1">
      <alignment vertical="center"/>
    </xf>
    <xf numFmtId="42" fontId="7" fillId="0" borderId="1" xfId="1" applyFont="1" applyFill="1" applyBorder="1" applyAlignment="1">
      <alignment horizontal="left" vertical="center"/>
    </xf>
    <xf numFmtId="42" fontId="7" fillId="0" borderId="1" xfId="1" quotePrefix="1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5" fontId="9" fillId="2" borderId="1" xfId="0" applyNumberFormat="1" applyFont="1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0580-180D-C344-9E43-3B1A47FB75DD}">
  <dimension ref="A1:AD50"/>
  <sheetViews>
    <sheetView tabSelected="1" topLeftCell="A24" zoomScale="157" workbookViewId="0">
      <selection activeCell="D34" sqref="D34"/>
    </sheetView>
  </sheetViews>
  <sheetFormatPr baseColWidth="10" defaultRowHeight="16" x14ac:dyDescent="0.2"/>
  <cols>
    <col min="1" max="1" width="11" bestFit="1" customWidth="1"/>
    <col min="5" max="5" width="12.6640625" bestFit="1" customWidth="1"/>
    <col min="6" max="6" width="11" bestFit="1" customWidth="1"/>
    <col min="8" max="11" width="0" hidden="1" customWidth="1"/>
    <col min="12" max="12" width="11.33203125" bestFit="1" customWidth="1"/>
    <col min="13" max="17" width="11" bestFit="1" customWidth="1"/>
    <col min="18" max="18" width="11.33203125" bestFit="1" customWidth="1"/>
    <col min="19" max="19" width="11" bestFit="1" customWidth="1"/>
    <col min="20" max="20" width="11.33203125" bestFit="1" customWidth="1"/>
    <col min="21" max="24" width="11" bestFit="1" customWidth="1"/>
    <col min="27" max="27" width="11" bestFit="1" customWidth="1"/>
    <col min="29" max="29" width="11" bestFit="1" customWidth="1"/>
    <col min="30" max="30" width="11.33203125" bestFit="1" customWidth="1"/>
  </cols>
  <sheetData>
    <row r="1" spans="1:30" ht="2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2">
        <v>0.05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3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</row>
    <row r="2" spans="1:30" x14ac:dyDescent="0.2">
      <c r="A2" s="4">
        <v>1</v>
      </c>
      <c r="B2" s="5"/>
      <c r="C2" s="6" t="s">
        <v>28</v>
      </c>
      <c r="D2" s="7" t="s">
        <v>29</v>
      </c>
      <c r="E2" s="7" t="s">
        <v>30</v>
      </c>
      <c r="F2" s="7"/>
      <c r="G2" s="8"/>
      <c r="H2" s="5"/>
      <c r="I2" s="5"/>
      <c r="J2" s="5"/>
      <c r="K2" s="5"/>
      <c r="L2" s="5">
        <v>4584270</v>
      </c>
      <c r="M2" s="5"/>
      <c r="N2" s="5"/>
      <c r="O2" s="5"/>
      <c r="P2" s="5"/>
      <c r="Q2" s="5"/>
      <c r="R2" s="5">
        <v>4584270</v>
      </c>
      <c r="S2" s="5"/>
      <c r="T2" s="5">
        <v>4584270</v>
      </c>
      <c r="U2" s="5"/>
      <c r="V2" s="5"/>
      <c r="W2" s="5"/>
      <c r="X2" s="5"/>
      <c r="Y2" s="5"/>
      <c r="Z2" s="5"/>
      <c r="AA2" s="5"/>
      <c r="AB2" s="5"/>
      <c r="AC2" s="5"/>
      <c r="AD2" s="5">
        <v>4584270</v>
      </c>
    </row>
    <row r="3" spans="1:30" x14ac:dyDescent="0.2">
      <c r="A3" s="4">
        <f>A2+1</f>
        <v>2</v>
      </c>
      <c r="B3" s="5"/>
      <c r="C3" s="6" t="s">
        <v>28</v>
      </c>
      <c r="D3" s="7" t="s">
        <v>31</v>
      </c>
      <c r="E3" s="7" t="s">
        <v>30</v>
      </c>
      <c r="F3" s="7"/>
      <c r="G3" s="8"/>
      <c r="H3" s="5"/>
      <c r="I3" s="5"/>
      <c r="J3" s="5"/>
      <c r="K3" s="5"/>
      <c r="L3" s="5">
        <v>1569660</v>
      </c>
      <c r="M3" s="5"/>
      <c r="N3" s="5"/>
      <c r="O3" s="5"/>
      <c r="P3" s="5"/>
      <c r="Q3" s="5"/>
      <c r="R3" s="5">
        <v>1569660</v>
      </c>
      <c r="S3" s="5"/>
      <c r="T3" s="5">
        <v>1569660</v>
      </c>
      <c r="U3" s="5"/>
      <c r="V3" s="5"/>
      <c r="W3" s="5"/>
      <c r="X3" s="5"/>
      <c r="Y3" s="5"/>
      <c r="Z3" s="5"/>
      <c r="AA3" s="5"/>
      <c r="AB3" s="5"/>
      <c r="AC3" s="5"/>
      <c r="AD3" s="5">
        <v>1569660</v>
      </c>
    </row>
    <row r="4" spans="1:30" x14ac:dyDescent="0.2">
      <c r="A4" s="4">
        <v>3</v>
      </c>
      <c r="B4" s="5"/>
      <c r="C4" s="6" t="s">
        <v>28</v>
      </c>
      <c r="D4" s="7" t="s">
        <v>32</v>
      </c>
      <c r="E4" s="7" t="s">
        <v>33</v>
      </c>
      <c r="F4" s="7"/>
      <c r="G4" s="8"/>
      <c r="H4" s="5"/>
      <c r="I4" s="5"/>
      <c r="J4" s="5"/>
      <c r="K4" s="5"/>
      <c r="L4" s="5">
        <v>2000000</v>
      </c>
      <c r="M4" s="5"/>
      <c r="N4" s="5"/>
      <c r="O4" s="5"/>
      <c r="P4" s="5"/>
      <c r="Q4" s="5"/>
      <c r="R4" s="5">
        <v>2000000</v>
      </c>
      <c r="S4" s="5"/>
      <c r="T4" s="5">
        <v>2000000</v>
      </c>
      <c r="U4" s="5"/>
      <c r="V4" s="5"/>
      <c r="W4" s="5"/>
      <c r="X4" s="5"/>
      <c r="Y4" s="5"/>
      <c r="Z4" s="5"/>
      <c r="AA4" s="5"/>
      <c r="AB4" s="5"/>
      <c r="AC4" s="5"/>
      <c r="AD4" s="5">
        <v>2000000</v>
      </c>
    </row>
    <row r="5" spans="1:30" x14ac:dyDescent="0.2">
      <c r="A5" s="4">
        <v>4</v>
      </c>
      <c r="B5" s="5"/>
      <c r="C5" s="6" t="s">
        <v>28</v>
      </c>
      <c r="D5" s="7" t="s">
        <v>34</v>
      </c>
      <c r="E5" s="7" t="s">
        <v>33</v>
      </c>
      <c r="F5" s="7"/>
      <c r="G5" s="8"/>
      <c r="H5" s="5"/>
      <c r="I5" s="5"/>
      <c r="J5" s="5"/>
      <c r="K5" s="5"/>
      <c r="L5" s="5">
        <v>1647700</v>
      </c>
      <c r="M5" s="5"/>
      <c r="N5" s="5"/>
      <c r="O5" s="5"/>
      <c r="P5" s="5"/>
      <c r="Q5" s="5"/>
      <c r="R5" s="5">
        <v>1647700</v>
      </c>
      <c r="S5" s="5"/>
      <c r="T5" s="5">
        <v>1647700</v>
      </c>
      <c r="U5" s="5"/>
      <c r="V5" s="5"/>
      <c r="W5" s="5"/>
      <c r="X5" s="5"/>
      <c r="Y5" s="5"/>
      <c r="Z5" s="5"/>
      <c r="AA5" s="5"/>
      <c r="AB5" s="5"/>
      <c r="AC5" s="5"/>
      <c r="AD5" s="5">
        <v>1647700</v>
      </c>
    </row>
    <row r="6" spans="1:30" x14ac:dyDescent="0.2">
      <c r="A6" s="4">
        <v>5</v>
      </c>
      <c r="B6" s="5"/>
      <c r="C6" s="6" t="s">
        <v>28</v>
      </c>
      <c r="D6" s="7" t="s">
        <v>35</v>
      </c>
      <c r="E6" s="7" t="s">
        <v>33</v>
      </c>
      <c r="F6" s="7"/>
      <c r="G6" s="8"/>
      <c r="H6" s="5"/>
      <c r="I6" s="5"/>
      <c r="J6" s="5"/>
      <c r="K6" s="5"/>
      <c r="L6" s="5">
        <v>3357000</v>
      </c>
      <c r="M6" s="5"/>
      <c r="N6" s="5"/>
      <c r="O6" s="5"/>
      <c r="P6" s="5"/>
      <c r="Q6" s="5"/>
      <c r="R6" s="5">
        <v>3357000</v>
      </c>
      <c r="S6" s="5"/>
      <c r="T6" s="5">
        <v>3357000</v>
      </c>
      <c r="U6" s="5"/>
      <c r="V6" s="5"/>
      <c r="W6" s="5"/>
      <c r="X6" s="5"/>
      <c r="Y6" s="5"/>
      <c r="Z6" s="5"/>
      <c r="AA6" s="5"/>
      <c r="AB6" s="5"/>
      <c r="AC6" s="5"/>
      <c r="AD6" s="5">
        <v>3357000</v>
      </c>
    </row>
    <row r="7" spans="1:30" x14ac:dyDescent="0.2">
      <c r="A7" s="4">
        <v>6</v>
      </c>
      <c r="B7" s="5"/>
      <c r="C7" s="6" t="s">
        <v>28</v>
      </c>
      <c r="D7" s="7" t="s">
        <v>36</v>
      </c>
      <c r="E7" s="7" t="s">
        <v>30</v>
      </c>
      <c r="F7" s="7"/>
      <c r="G7" s="8"/>
      <c r="H7" s="5"/>
      <c r="I7" s="5"/>
      <c r="J7" s="5"/>
      <c r="K7" s="5"/>
      <c r="L7" s="5">
        <v>1525000</v>
      </c>
      <c r="M7" s="5"/>
      <c r="N7" s="5"/>
      <c r="O7" s="5"/>
      <c r="P7" s="5"/>
      <c r="Q7" s="5"/>
      <c r="R7" s="5">
        <v>1525000</v>
      </c>
      <c r="S7" s="5"/>
      <c r="T7" s="5">
        <v>1525000</v>
      </c>
      <c r="U7" s="5"/>
      <c r="V7" s="5"/>
      <c r="W7" s="5"/>
      <c r="X7" s="5"/>
      <c r="Y7" s="5"/>
      <c r="Z7" s="5"/>
      <c r="AA7" s="5"/>
      <c r="AB7" s="5"/>
      <c r="AC7" s="5"/>
      <c r="AD7" s="5">
        <v>1525000</v>
      </c>
    </row>
    <row r="8" spans="1:30" x14ac:dyDescent="0.2">
      <c r="A8" s="4">
        <v>7</v>
      </c>
      <c r="B8" s="5"/>
      <c r="C8" s="6" t="s">
        <v>28</v>
      </c>
      <c r="D8" s="7" t="s">
        <v>37</v>
      </c>
      <c r="E8" s="7" t="s">
        <v>38</v>
      </c>
      <c r="F8" s="7"/>
      <c r="G8" s="8"/>
      <c r="H8" s="5"/>
      <c r="I8" s="5"/>
      <c r="J8" s="5"/>
      <c r="K8" s="5"/>
      <c r="L8" s="5">
        <v>3119021</v>
      </c>
      <c r="M8" s="5"/>
      <c r="N8" s="5"/>
      <c r="O8" s="5"/>
      <c r="P8" s="5"/>
      <c r="Q8" s="5"/>
      <c r="R8" s="5">
        <v>3119021</v>
      </c>
      <c r="S8" s="5"/>
      <c r="T8" s="5">
        <v>3119021</v>
      </c>
      <c r="U8" s="5"/>
      <c r="V8" s="5"/>
      <c r="W8" s="5"/>
      <c r="X8" s="5"/>
      <c r="Y8" s="5"/>
      <c r="Z8" s="5"/>
      <c r="AA8" s="5"/>
      <c r="AB8" s="5"/>
      <c r="AC8" s="5"/>
      <c r="AD8" s="5">
        <v>3119021</v>
      </c>
    </row>
    <row r="9" spans="1:30" x14ac:dyDescent="0.2">
      <c r="A9" s="4">
        <v>8</v>
      </c>
      <c r="B9" s="5"/>
      <c r="C9" s="6" t="s">
        <v>28</v>
      </c>
      <c r="D9" s="7" t="s">
        <v>39</v>
      </c>
      <c r="E9" s="7" t="s">
        <v>38</v>
      </c>
      <c r="F9" s="7"/>
      <c r="G9" s="8"/>
      <c r="H9" s="5"/>
      <c r="I9" s="5"/>
      <c r="J9" s="5"/>
      <c r="K9" s="5"/>
      <c r="L9" s="5">
        <v>3038462</v>
      </c>
      <c r="M9" s="5"/>
      <c r="N9" s="5"/>
      <c r="O9" s="5"/>
      <c r="P9" s="5"/>
      <c r="Q9" s="5"/>
      <c r="R9" s="5">
        <v>3038462</v>
      </c>
      <c r="S9" s="5"/>
      <c r="T9" s="5">
        <v>3038462</v>
      </c>
      <c r="U9" s="5"/>
      <c r="V9" s="5"/>
      <c r="W9" s="5"/>
      <c r="X9" s="5"/>
      <c r="Y9" s="5"/>
      <c r="Z9" s="5"/>
      <c r="AA9" s="5"/>
      <c r="AB9" s="5"/>
      <c r="AC9" s="5"/>
      <c r="AD9" s="5">
        <v>3038462</v>
      </c>
    </row>
    <row r="10" spans="1:30" x14ac:dyDescent="0.2">
      <c r="A10" s="4">
        <v>9</v>
      </c>
      <c r="B10" s="5"/>
      <c r="C10" s="6" t="s">
        <v>28</v>
      </c>
      <c r="D10" s="7" t="s">
        <v>40</v>
      </c>
      <c r="E10" s="7" t="s">
        <v>33</v>
      </c>
      <c r="F10" s="7"/>
      <c r="G10" s="8"/>
      <c r="H10" s="5"/>
      <c r="I10" s="5"/>
      <c r="J10" s="5"/>
      <c r="K10" s="5"/>
      <c r="L10" s="5">
        <v>1436644</v>
      </c>
      <c r="M10" s="5"/>
      <c r="N10" s="5"/>
      <c r="O10" s="5"/>
      <c r="P10" s="5"/>
      <c r="Q10" s="5"/>
      <c r="R10" s="5">
        <v>1436644</v>
      </c>
      <c r="S10" s="5"/>
      <c r="T10" s="5">
        <v>1436644</v>
      </c>
      <c r="U10" s="5"/>
      <c r="V10" s="5"/>
      <c r="W10" s="5"/>
      <c r="X10" s="5"/>
      <c r="Y10" s="5"/>
      <c r="Z10" s="5"/>
      <c r="AA10" s="5"/>
      <c r="AB10" s="5"/>
      <c r="AC10" s="5"/>
      <c r="AD10" s="5">
        <v>1436644</v>
      </c>
    </row>
    <row r="11" spans="1:30" x14ac:dyDescent="0.2">
      <c r="A11" s="4">
        <v>10</v>
      </c>
      <c r="B11" s="5"/>
      <c r="C11" s="6" t="s">
        <v>28</v>
      </c>
      <c r="D11" s="7" t="s">
        <v>39</v>
      </c>
      <c r="E11" s="7" t="s">
        <v>41</v>
      </c>
      <c r="F11" s="7"/>
      <c r="G11" s="8"/>
      <c r="H11" s="5"/>
      <c r="I11" s="5"/>
      <c r="J11" s="5"/>
      <c r="K11" s="5"/>
      <c r="L11" s="5">
        <v>6072438</v>
      </c>
      <c r="M11" s="5"/>
      <c r="N11" s="5"/>
      <c r="O11" s="5"/>
      <c r="P11" s="5"/>
      <c r="Q11" s="5"/>
      <c r="R11" s="5">
        <v>6072438</v>
      </c>
      <c r="S11" s="5"/>
      <c r="T11" s="5">
        <v>6072438</v>
      </c>
      <c r="U11" s="5"/>
      <c r="V11" s="5"/>
      <c r="W11" s="5"/>
      <c r="X11" s="5"/>
      <c r="Y11" s="5"/>
      <c r="Z11" s="5"/>
      <c r="AA11" s="5"/>
      <c r="AB11" s="5"/>
      <c r="AC11" s="5"/>
      <c r="AD11" s="5">
        <v>6072438</v>
      </c>
    </row>
    <row r="12" spans="1:30" x14ac:dyDescent="0.2">
      <c r="A12" s="4">
        <v>11</v>
      </c>
      <c r="B12" s="5"/>
      <c r="C12" s="6" t="s">
        <v>28</v>
      </c>
      <c r="D12" s="7" t="s">
        <v>39</v>
      </c>
      <c r="E12" s="7" t="s">
        <v>38</v>
      </c>
      <c r="F12" s="7"/>
      <c r="G12" s="8"/>
      <c r="H12" s="5"/>
      <c r="I12" s="5"/>
      <c r="J12" s="5"/>
      <c r="K12" s="5"/>
      <c r="L12" s="5">
        <v>3125577</v>
      </c>
      <c r="M12" s="5"/>
      <c r="N12" s="5"/>
      <c r="O12" s="5"/>
      <c r="P12" s="5"/>
      <c r="Q12" s="5"/>
      <c r="R12" s="5">
        <v>3125577</v>
      </c>
      <c r="S12" s="5"/>
      <c r="T12" s="5">
        <v>3125577</v>
      </c>
      <c r="U12" s="5"/>
      <c r="V12" s="5"/>
      <c r="W12" s="5"/>
      <c r="X12" s="5"/>
      <c r="Y12" s="5"/>
      <c r="Z12" s="5"/>
      <c r="AA12" s="5"/>
      <c r="AB12" s="5"/>
      <c r="AC12" s="5"/>
      <c r="AD12" s="5">
        <v>3125577</v>
      </c>
    </row>
    <row r="13" spans="1:30" x14ac:dyDescent="0.2">
      <c r="A13" s="4">
        <v>12</v>
      </c>
      <c r="B13" s="5"/>
      <c r="C13" s="6" t="s">
        <v>28</v>
      </c>
      <c r="D13" s="7" t="s">
        <v>42</v>
      </c>
      <c r="E13" s="7" t="s">
        <v>38</v>
      </c>
      <c r="F13" s="7"/>
      <c r="G13" s="8"/>
      <c r="H13" s="5"/>
      <c r="I13" s="5"/>
      <c r="J13" s="5"/>
      <c r="K13" s="5"/>
      <c r="L13" s="5">
        <v>2979971</v>
      </c>
      <c r="M13" s="5"/>
      <c r="N13" s="5"/>
      <c r="O13" s="5"/>
      <c r="P13" s="5"/>
      <c r="Q13" s="5"/>
      <c r="R13" s="5">
        <v>2979971</v>
      </c>
      <c r="S13" s="5"/>
      <c r="T13" s="5">
        <v>2979971</v>
      </c>
      <c r="U13" s="5"/>
      <c r="V13" s="5"/>
      <c r="W13" s="5"/>
      <c r="X13" s="5"/>
      <c r="Y13" s="5"/>
      <c r="Z13" s="5"/>
      <c r="AA13" s="5"/>
      <c r="AB13" s="5"/>
      <c r="AC13" s="5"/>
      <c r="AD13" s="5">
        <v>2979971</v>
      </c>
    </row>
    <row r="14" spans="1:30" x14ac:dyDescent="0.2">
      <c r="A14" s="4">
        <v>13</v>
      </c>
      <c r="B14" s="5"/>
      <c r="C14" s="6" t="s">
        <v>28</v>
      </c>
      <c r="D14" s="7" t="s">
        <v>40</v>
      </c>
      <c r="E14" s="7" t="s">
        <v>33</v>
      </c>
      <c r="F14" s="7"/>
      <c r="G14" s="8"/>
      <c r="H14" s="5"/>
      <c r="I14" s="5"/>
      <c r="J14" s="5"/>
      <c r="K14" s="5"/>
      <c r="L14" s="5">
        <v>3854114</v>
      </c>
      <c r="M14" s="5"/>
      <c r="N14" s="5"/>
      <c r="O14" s="5"/>
      <c r="P14" s="5"/>
      <c r="Q14" s="5"/>
      <c r="R14" s="5">
        <v>3854114</v>
      </c>
      <c r="S14" s="5"/>
      <c r="T14" s="5">
        <v>3854114</v>
      </c>
      <c r="U14" s="5"/>
      <c r="V14" s="5"/>
      <c r="W14" s="5"/>
      <c r="X14" s="5"/>
      <c r="Y14" s="5"/>
      <c r="Z14" s="5"/>
      <c r="AA14" s="5"/>
      <c r="AB14" s="5"/>
      <c r="AC14" s="5"/>
      <c r="AD14" s="5">
        <v>3854114</v>
      </c>
    </row>
    <row r="15" spans="1:30" x14ac:dyDescent="0.2">
      <c r="A15" s="4">
        <v>14</v>
      </c>
      <c r="B15" s="5"/>
      <c r="C15" s="6" t="s">
        <v>28</v>
      </c>
      <c r="D15" s="7" t="s">
        <v>36</v>
      </c>
      <c r="E15" s="7" t="s">
        <v>43</v>
      </c>
      <c r="F15" s="7"/>
      <c r="G15" s="8"/>
      <c r="H15" s="5"/>
      <c r="I15" s="5"/>
      <c r="J15" s="5"/>
      <c r="K15" s="5"/>
      <c r="L15" s="5">
        <v>8637404</v>
      </c>
      <c r="M15" s="5"/>
      <c r="N15" s="5"/>
      <c r="O15" s="5"/>
      <c r="P15" s="5"/>
      <c r="Q15" s="5"/>
      <c r="R15" s="5">
        <v>8637404</v>
      </c>
      <c r="S15" s="5"/>
      <c r="T15" s="5">
        <v>8637404</v>
      </c>
      <c r="U15" s="5"/>
      <c r="V15" s="5"/>
      <c r="W15" s="5"/>
      <c r="X15" s="5"/>
      <c r="Y15" s="5"/>
      <c r="Z15" s="5"/>
      <c r="AA15" s="5"/>
      <c r="AB15" s="5"/>
      <c r="AC15" s="5"/>
      <c r="AD15" s="5">
        <v>8637404</v>
      </c>
    </row>
    <row r="16" spans="1:30" x14ac:dyDescent="0.2">
      <c r="A16" s="4">
        <v>15</v>
      </c>
      <c r="B16" s="5" t="s">
        <v>44</v>
      </c>
      <c r="C16" s="6" t="s">
        <v>45</v>
      </c>
      <c r="D16" s="7" t="s">
        <v>46</v>
      </c>
      <c r="E16" s="7" t="s">
        <v>33</v>
      </c>
      <c r="F16" s="21">
        <v>41085</v>
      </c>
      <c r="G16" s="8" t="s">
        <v>47</v>
      </c>
      <c r="H16" s="5">
        <v>3703076</v>
      </c>
      <c r="I16" s="5">
        <f>H16+H16*3.56%</f>
        <v>3834905.5055999998</v>
      </c>
      <c r="J16" s="5">
        <f>(I16*4%)+I16</f>
        <v>3988301.7258239998</v>
      </c>
      <c r="K16" s="5">
        <v>199415</v>
      </c>
      <c r="L16" s="9">
        <v>4187717</v>
      </c>
      <c r="M16" s="9">
        <v>200000</v>
      </c>
      <c r="N16" s="9">
        <v>400000</v>
      </c>
      <c r="O16" s="9">
        <v>50000</v>
      </c>
      <c r="P16" s="9">
        <v>250000</v>
      </c>
      <c r="Q16" s="9"/>
      <c r="R16" s="9">
        <v>5087717</v>
      </c>
      <c r="S16" s="9">
        <v>5000</v>
      </c>
      <c r="T16" s="9">
        <v>5092717</v>
      </c>
      <c r="U16" s="9">
        <v>121663</v>
      </c>
      <c r="V16" s="9">
        <v>24333</v>
      </c>
      <c r="W16" s="9">
        <v>1000</v>
      </c>
      <c r="X16" s="9"/>
      <c r="Y16" s="9"/>
      <c r="Z16" s="9"/>
      <c r="AA16" s="9">
        <v>10000</v>
      </c>
      <c r="AB16" s="9"/>
      <c r="AC16" s="10">
        <v>1000000</v>
      </c>
      <c r="AD16" s="9">
        <v>3935721</v>
      </c>
    </row>
    <row r="17" spans="1:30" x14ac:dyDescent="0.2">
      <c r="A17" s="4">
        <v>16</v>
      </c>
      <c r="B17" s="5" t="s">
        <v>48</v>
      </c>
      <c r="C17" s="6" t="s">
        <v>49</v>
      </c>
      <c r="D17" s="7" t="s">
        <v>50</v>
      </c>
      <c r="E17" s="7" t="s">
        <v>33</v>
      </c>
      <c r="F17" s="22">
        <v>41302</v>
      </c>
      <c r="G17" s="8" t="s">
        <v>51</v>
      </c>
      <c r="H17" s="5">
        <v>2081783</v>
      </c>
      <c r="I17" s="5">
        <v>2156000</v>
      </c>
      <c r="J17" s="5">
        <f>(I17*6.5%)+I17</f>
        <v>2296140</v>
      </c>
      <c r="K17" s="5">
        <v>114807</v>
      </c>
      <c r="L17" s="9">
        <v>2500000</v>
      </c>
      <c r="M17" s="9"/>
      <c r="N17" s="9">
        <v>135000</v>
      </c>
      <c r="O17" s="9">
        <f>200000-89053</f>
        <v>110947</v>
      </c>
      <c r="P17" s="9">
        <v>169500</v>
      </c>
      <c r="Q17" s="9"/>
      <c r="R17" s="9">
        <v>2915447</v>
      </c>
      <c r="S17" s="9">
        <v>5000</v>
      </c>
      <c r="T17" s="9">
        <v>2920447</v>
      </c>
      <c r="U17" s="9">
        <v>121663</v>
      </c>
      <c r="V17" s="9">
        <v>24333</v>
      </c>
      <c r="W17" s="9">
        <v>1000</v>
      </c>
      <c r="X17" s="9"/>
      <c r="Y17" s="9"/>
      <c r="Z17" s="9"/>
      <c r="AA17" s="9">
        <v>10000</v>
      </c>
      <c r="AB17" s="9"/>
      <c r="AC17" s="10">
        <v>500000</v>
      </c>
      <c r="AD17" s="9">
        <v>2263451</v>
      </c>
    </row>
    <row r="18" spans="1:30" x14ac:dyDescent="0.2">
      <c r="A18" s="4">
        <v>17</v>
      </c>
      <c r="B18" s="5" t="s">
        <v>52</v>
      </c>
      <c r="C18" s="6" t="s">
        <v>53</v>
      </c>
      <c r="D18" s="7" t="s">
        <v>31</v>
      </c>
      <c r="E18" s="7" t="s">
        <v>54</v>
      </c>
      <c r="F18" s="22">
        <v>42795</v>
      </c>
      <c r="G18" s="8" t="s">
        <v>55</v>
      </c>
      <c r="H18" s="5">
        <v>2385000</v>
      </c>
      <c r="I18" s="5">
        <f>H18+H18*3.56%</f>
        <v>2469906</v>
      </c>
      <c r="J18" s="5">
        <v>2800000</v>
      </c>
      <c r="K18" s="5">
        <v>140000</v>
      </c>
      <c r="L18" s="9">
        <v>3000000</v>
      </c>
      <c r="M18" s="9">
        <v>500000</v>
      </c>
      <c r="N18" s="9">
        <v>320298</v>
      </c>
      <c r="O18" s="9"/>
      <c r="P18" s="9">
        <v>140000</v>
      </c>
      <c r="Q18" s="9"/>
      <c r="R18" s="9">
        <v>3960298</v>
      </c>
      <c r="S18" s="9">
        <v>5000</v>
      </c>
      <c r="T18" s="9">
        <v>3965298</v>
      </c>
      <c r="U18" s="9">
        <v>121663</v>
      </c>
      <c r="V18" s="9">
        <v>24333</v>
      </c>
      <c r="W18" s="9">
        <v>1000</v>
      </c>
      <c r="X18" s="9"/>
      <c r="Y18" s="9"/>
      <c r="Z18" s="9"/>
      <c r="AA18" s="9">
        <v>10000</v>
      </c>
      <c r="AB18" s="9"/>
      <c r="AC18" s="10">
        <v>1000000</v>
      </c>
      <c r="AD18" s="9">
        <v>2808302</v>
      </c>
    </row>
    <row r="19" spans="1:30" x14ac:dyDescent="0.2">
      <c r="A19" s="4">
        <v>18</v>
      </c>
      <c r="B19" s="5" t="s">
        <v>56</v>
      </c>
      <c r="C19" s="6" t="s">
        <v>57</v>
      </c>
      <c r="D19" s="7" t="s">
        <v>29</v>
      </c>
      <c r="E19" s="7" t="s">
        <v>58</v>
      </c>
      <c r="F19" s="21">
        <v>42583</v>
      </c>
      <c r="G19" s="8" t="s">
        <v>59</v>
      </c>
      <c r="H19" s="5">
        <v>2478646</v>
      </c>
      <c r="I19" s="5">
        <f>H19+H19*3.56%</f>
        <v>2566885.7976000002</v>
      </c>
      <c r="J19" s="5">
        <f>(I19*4%)+I19</f>
        <v>2669561.2295040004</v>
      </c>
      <c r="K19" s="5">
        <v>133478</v>
      </c>
      <c r="L19" s="9">
        <v>2803039</v>
      </c>
      <c r="M19" s="9">
        <v>130439</v>
      </c>
      <c r="N19" s="9">
        <v>300000</v>
      </c>
      <c r="O19" s="9">
        <v>250000</v>
      </c>
      <c r="P19" s="9">
        <v>150000</v>
      </c>
      <c r="Q19" s="9">
        <v>100000</v>
      </c>
      <c r="R19" s="9">
        <v>3733478</v>
      </c>
      <c r="S19" s="9">
        <v>5000</v>
      </c>
      <c r="T19" s="9">
        <v>3738478</v>
      </c>
      <c r="U19" s="9">
        <v>121663</v>
      </c>
      <c r="V19" s="9">
        <v>24333</v>
      </c>
      <c r="W19" s="9">
        <v>1000</v>
      </c>
      <c r="X19" s="9"/>
      <c r="Y19" s="9"/>
      <c r="Z19" s="9"/>
      <c r="AA19" s="9">
        <v>10000</v>
      </c>
      <c r="AB19" s="9"/>
      <c r="AC19" s="10">
        <v>700000</v>
      </c>
      <c r="AD19" s="9">
        <v>2881482</v>
      </c>
    </row>
    <row r="20" spans="1:30" x14ac:dyDescent="0.2">
      <c r="A20" s="4">
        <v>19</v>
      </c>
      <c r="B20" s="5"/>
      <c r="C20" s="6" t="s">
        <v>60</v>
      </c>
      <c r="D20" s="7" t="s">
        <v>29</v>
      </c>
      <c r="E20" s="7" t="s">
        <v>30</v>
      </c>
      <c r="F20" s="23"/>
      <c r="G20" s="8" t="s">
        <v>61</v>
      </c>
      <c r="H20" s="5">
        <v>12000000</v>
      </c>
      <c r="I20" s="5"/>
      <c r="J20" s="5"/>
      <c r="K20" s="5"/>
      <c r="L20" s="9">
        <v>12000000</v>
      </c>
      <c r="M20" s="9"/>
      <c r="N20" s="9"/>
      <c r="O20" s="9"/>
      <c r="P20" s="9"/>
      <c r="Q20" s="9"/>
      <c r="R20" s="9">
        <v>12000000</v>
      </c>
      <c r="S20" s="9"/>
      <c r="T20" s="9">
        <v>12000000</v>
      </c>
      <c r="U20" s="9"/>
      <c r="V20" s="9"/>
      <c r="W20" s="9"/>
      <c r="X20" s="9">
        <v>660000</v>
      </c>
      <c r="Y20" s="9"/>
      <c r="Z20" s="9"/>
      <c r="AA20" s="9"/>
      <c r="AB20" s="9"/>
      <c r="AC20" s="9"/>
      <c r="AD20" s="9">
        <v>11340000</v>
      </c>
    </row>
    <row r="21" spans="1:30" x14ac:dyDescent="0.2">
      <c r="A21" s="4">
        <v>20</v>
      </c>
      <c r="B21" s="5" t="s">
        <v>62</v>
      </c>
      <c r="C21" s="5" t="s">
        <v>63</v>
      </c>
      <c r="D21" s="11" t="s">
        <v>40</v>
      </c>
      <c r="E21" s="11" t="s">
        <v>33</v>
      </c>
      <c r="F21" s="24">
        <v>45790</v>
      </c>
      <c r="G21" s="8"/>
      <c r="H21" s="5"/>
      <c r="I21" s="5"/>
      <c r="J21" s="5">
        <v>2500000</v>
      </c>
      <c r="K21" s="5">
        <v>125000</v>
      </c>
      <c r="L21" s="9">
        <v>2625000</v>
      </c>
      <c r="M21" s="9">
        <v>250000</v>
      </c>
      <c r="N21" s="9">
        <v>250000</v>
      </c>
      <c r="O21" s="12">
        <v>200000</v>
      </c>
      <c r="P21" s="9"/>
      <c r="Q21" s="9">
        <v>100000</v>
      </c>
      <c r="R21" s="9">
        <v>3425000</v>
      </c>
      <c r="S21" s="9">
        <v>5000</v>
      </c>
      <c r="T21" s="9">
        <v>3430000</v>
      </c>
      <c r="U21" s="9">
        <v>121663</v>
      </c>
      <c r="V21" s="9">
        <v>24333</v>
      </c>
      <c r="W21" s="9">
        <v>1000</v>
      </c>
      <c r="X21" s="9"/>
      <c r="Y21" s="9"/>
      <c r="Z21" s="9"/>
      <c r="AA21" s="9">
        <v>10000</v>
      </c>
      <c r="AB21" s="9"/>
      <c r="AC21" s="9"/>
      <c r="AD21" s="9">
        <v>3273004</v>
      </c>
    </row>
    <row r="22" spans="1:30" x14ac:dyDescent="0.2">
      <c r="A22" s="4">
        <v>21</v>
      </c>
      <c r="B22" s="5" t="s">
        <v>64</v>
      </c>
      <c r="C22" s="5" t="s">
        <v>65</v>
      </c>
      <c r="D22" s="11" t="s">
        <v>66</v>
      </c>
      <c r="E22" s="11" t="s">
        <v>33</v>
      </c>
      <c r="F22" s="24">
        <v>45790</v>
      </c>
      <c r="G22" s="8"/>
      <c r="H22" s="5"/>
      <c r="I22" s="5"/>
      <c r="J22" s="5">
        <v>2500000</v>
      </c>
      <c r="K22" s="5">
        <v>125000</v>
      </c>
      <c r="L22" s="9">
        <f>2625000-50000</f>
        <v>2575000</v>
      </c>
      <c r="M22" s="9"/>
      <c r="N22" s="9">
        <v>250000</v>
      </c>
      <c r="O22" s="12"/>
      <c r="P22" s="9"/>
      <c r="Q22" s="9">
        <v>250000</v>
      </c>
      <c r="R22" s="9">
        <v>3075000</v>
      </c>
      <c r="S22" s="9">
        <v>5000</v>
      </c>
      <c r="T22" s="9">
        <v>3080000</v>
      </c>
      <c r="U22" s="9">
        <v>121663</v>
      </c>
      <c r="V22" s="9">
        <v>24333</v>
      </c>
      <c r="W22" s="9">
        <v>1000</v>
      </c>
      <c r="X22" s="9"/>
      <c r="Y22" s="9"/>
      <c r="Z22" s="9"/>
      <c r="AA22" s="9">
        <v>10000</v>
      </c>
      <c r="AB22" s="9"/>
      <c r="AC22" s="9"/>
      <c r="AD22" s="9">
        <v>2923004</v>
      </c>
    </row>
    <row r="23" spans="1:30" x14ac:dyDescent="0.2">
      <c r="A23" s="4">
        <v>22</v>
      </c>
      <c r="B23" s="5" t="s">
        <v>67</v>
      </c>
      <c r="C23" s="13" t="s">
        <v>68</v>
      </c>
      <c r="D23" s="7" t="s">
        <v>36</v>
      </c>
      <c r="E23" s="11" t="s">
        <v>33</v>
      </c>
      <c r="F23" s="24">
        <v>45881</v>
      </c>
      <c r="G23" s="14"/>
      <c r="H23" s="15"/>
      <c r="I23" s="5"/>
      <c r="J23" s="5">
        <v>2500000</v>
      </c>
      <c r="K23" s="5">
        <v>125000</v>
      </c>
      <c r="L23" s="9">
        <v>2625000</v>
      </c>
      <c r="M23" s="9"/>
      <c r="N23" s="9">
        <v>200000</v>
      </c>
      <c r="O23" s="9"/>
      <c r="P23" s="12"/>
      <c r="Q23" s="9">
        <v>75000</v>
      </c>
      <c r="R23" s="9">
        <v>2900000</v>
      </c>
      <c r="S23" s="9">
        <v>5000</v>
      </c>
      <c r="T23" s="9">
        <v>2905000</v>
      </c>
      <c r="U23" s="9"/>
      <c r="V23" s="9"/>
      <c r="W23" s="9">
        <v>1000</v>
      </c>
      <c r="X23" s="9"/>
      <c r="Y23" s="9"/>
      <c r="Z23" s="9"/>
      <c r="AA23" s="9">
        <v>10000</v>
      </c>
      <c r="AB23" s="9"/>
      <c r="AC23" s="10"/>
      <c r="AD23" s="9">
        <v>2894000</v>
      </c>
    </row>
    <row r="24" spans="1:30" x14ac:dyDescent="0.2">
      <c r="A24" s="4">
        <v>23</v>
      </c>
      <c r="B24" s="5" t="s">
        <v>69</v>
      </c>
      <c r="C24" s="6" t="s">
        <v>70</v>
      </c>
      <c r="D24" s="7" t="s">
        <v>71</v>
      </c>
      <c r="E24" s="7" t="s">
        <v>71</v>
      </c>
      <c r="F24" s="25">
        <v>42775</v>
      </c>
      <c r="G24" s="8" t="s">
        <v>72</v>
      </c>
      <c r="H24" s="5">
        <v>3223083</v>
      </c>
      <c r="I24" s="5">
        <f t="shared" ref="I24:I31" si="0">H24+H24*3.56%</f>
        <v>3337824.7548000002</v>
      </c>
      <c r="J24" s="5">
        <f>(I24*4%)+I24</f>
        <v>3471337.7449920001</v>
      </c>
      <c r="K24" s="5">
        <v>173567</v>
      </c>
      <c r="L24" s="9">
        <v>3644904</v>
      </c>
      <c r="M24" s="9">
        <v>500000</v>
      </c>
      <c r="N24" s="9">
        <v>500000</v>
      </c>
      <c r="O24" s="9">
        <v>159356</v>
      </c>
      <c r="P24" s="9">
        <v>150000</v>
      </c>
      <c r="Q24" s="9">
        <v>150000</v>
      </c>
      <c r="R24" s="16">
        <v>5104260</v>
      </c>
      <c r="S24" s="16">
        <v>5000</v>
      </c>
      <c r="T24" s="16">
        <v>5109260</v>
      </c>
      <c r="U24" s="16">
        <v>121663</v>
      </c>
      <c r="V24" s="16">
        <v>24333</v>
      </c>
      <c r="W24" s="16">
        <v>1000</v>
      </c>
      <c r="X24" s="16"/>
      <c r="Y24" s="16"/>
      <c r="Z24" s="16"/>
      <c r="AA24" s="16">
        <v>10000</v>
      </c>
      <c r="AB24" s="16"/>
      <c r="AC24" s="16"/>
      <c r="AD24" s="16">
        <v>4952264</v>
      </c>
    </row>
    <row r="25" spans="1:30" x14ac:dyDescent="0.2">
      <c r="A25" s="4">
        <v>24</v>
      </c>
      <c r="B25" s="5" t="s">
        <v>73</v>
      </c>
      <c r="C25" s="6" t="s">
        <v>74</v>
      </c>
      <c r="D25" s="7" t="s">
        <v>39</v>
      </c>
      <c r="E25" s="7" t="s">
        <v>41</v>
      </c>
      <c r="F25" s="21">
        <v>41022</v>
      </c>
      <c r="G25" s="8" t="s">
        <v>75</v>
      </c>
      <c r="H25" s="5">
        <v>3180000</v>
      </c>
      <c r="I25" s="5">
        <f t="shared" si="0"/>
        <v>3293208</v>
      </c>
      <c r="J25" s="5">
        <f>(I25*4%)+I25</f>
        <v>3424936.32</v>
      </c>
      <c r="K25" s="5">
        <v>171247</v>
      </c>
      <c r="L25" s="9">
        <v>3596183</v>
      </c>
      <c r="M25" s="9">
        <f>600000-96183</f>
        <v>503817</v>
      </c>
      <c r="N25" s="9">
        <v>400000</v>
      </c>
      <c r="O25" s="9"/>
      <c r="P25" s="9"/>
      <c r="Q25" s="9"/>
      <c r="R25" s="17">
        <v>4500000</v>
      </c>
      <c r="S25" s="17">
        <v>5000</v>
      </c>
      <c r="T25" s="17">
        <v>4505000</v>
      </c>
      <c r="U25" s="17">
        <v>121663</v>
      </c>
      <c r="V25" s="17"/>
      <c r="W25" s="17">
        <v>1000</v>
      </c>
      <c r="X25" s="17"/>
      <c r="Y25" s="17"/>
      <c r="Z25" s="17"/>
      <c r="AA25" s="17">
        <v>10000</v>
      </c>
      <c r="AB25" s="17"/>
      <c r="AC25" s="17"/>
      <c r="AD25" s="17">
        <v>4372337</v>
      </c>
    </row>
    <row r="26" spans="1:30" x14ac:dyDescent="0.2">
      <c r="A26" s="4">
        <v>25</v>
      </c>
      <c r="B26" s="5" t="s">
        <v>76</v>
      </c>
      <c r="C26" s="6" t="s">
        <v>77</v>
      </c>
      <c r="D26" s="7" t="s">
        <v>78</v>
      </c>
      <c r="E26" s="7" t="s">
        <v>38</v>
      </c>
      <c r="F26" s="21">
        <v>41079</v>
      </c>
      <c r="G26" s="8" t="s">
        <v>79</v>
      </c>
      <c r="H26" s="5">
        <v>2522769</v>
      </c>
      <c r="I26" s="5">
        <f t="shared" si="0"/>
        <v>2612579.5764000001</v>
      </c>
      <c r="J26" s="5">
        <v>2717083</v>
      </c>
      <c r="K26" s="5">
        <v>135854</v>
      </c>
      <c r="L26" s="9">
        <f t="shared" ref="L26:L35" si="1">J26+K26</f>
        <v>2852937</v>
      </c>
      <c r="M26" s="9">
        <v>600000</v>
      </c>
      <c r="N26" s="9">
        <v>400000</v>
      </c>
      <c r="O26" s="9">
        <v>82917</v>
      </c>
      <c r="P26" s="9">
        <v>200000</v>
      </c>
      <c r="Q26" s="9"/>
      <c r="R26" s="16">
        <v>4135854</v>
      </c>
      <c r="S26" s="16">
        <v>5000</v>
      </c>
      <c r="T26" s="16">
        <v>4140854</v>
      </c>
      <c r="U26" s="16">
        <v>121663</v>
      </c>
      <c r="V26" s="16">
        <v>24333</v>
      </c>
      <c r="W26" s="16">
        <v>1000</v>
      </c>
      <c r="X26" s="16"/>
      <c r="Y26" s="16"/>
      <c r="Z26" s="16"/>
      <c r="AA26" s="16">
        <v>10000</v>
      </c>
      <c r="AB26" s="16"/>
      <c r="AC26" s="16"/>
      <c r="AD26" s="16">
        <v>3983858</v>
      </c>
    </row>
    <row r="27" spans="1:30" x14ac:dyDescent="0.2">
      <c r="A27" s="4">
        <v>26</v>
      </c>
      <c r="B27" s="5" t="s">
        <v>80</v>
      </c>
      <c r="C27" s="6" t="s">
        <v>81</v>
      </c>
      <c r="D27" s="7" t="s">
        <v>42</v>
      </c>
      <c r="E27" s="7" t="s">
        <v>82</v>
      </c>
      <c r="F27" s="21">
        <v>41366</v>
      </c>
      <c r="G27" s="8" t="s">
        <v>83</v>
      </c>
      <c r="H27" s="5">
        <v>2227692</v>
      </c>
      <c r="I27" s="5">
        <f t="shared" si="0"/>
        <v>2306997.8352000001</v>
      </c>
      <c r="J27" s="5">
        <v>2399277</v>
      </c>
      <c r="K27" s="5">
        <v>119964</v>
      </c>
      <c r="L27" s="9">
        <f t="shared" si="1"/>
        <v>2519241</v>
      </c>
      <c r="M27" s="9">
        <v>150000</v>
      </c>
      <c r="N27" s="9">
        <v>100000</v>
      </c>
      <c r="O27" s="9">
        <v>230300</v>
      </c>
      <c r="P27" s="9">
        <v>82000</v>
      </c>
      <c r="Q27" s="9">
        <v>100000</v>
      </c>
      <c r="R27" s="16">
        <v>3181541</v>
      </c>
      <c r="S27" s="16">
        <v>5000</v>
      </c>
      <c r="T27" s="16">
        <v>3186541</v>
      </c>
      <c r="U27" s="16">
        <v>121663</v>
      </c>
      <c r="V27" s="16">
        <v>24333</v>
      </c>
      <c r="W27" s="16">
        <v>1000</v>
      </c>
      <c r="X27" s="16"/>
      <c r="Y27" s="16"/>
      <c r="Z27" s="16"/>
      <c r="AA27" s="16">
        <v>10000</v>
      </c>
      <c r="AB27" s="16"/>
      <c r="AC27" s="16"/>
      <c r="AD27" s="16">
        <v>3029545</v>
      </c>
    </row>
    <row r="28" spans="1:30" x14ac:dyDescent="0.2">
      <c r="A28" s="4">
        <v>27</v>
      </c>
      <c r="B28" s="5" t="s">
        <v>84</v>
      </c>
      <c r="C28" s="6" t="s">
        <v>85</v>
      </c>
      <c r="D28" s="7" t="s">
        <v>39</v>
      </c>
      <c r="E28" s="7" t="s">
        <v>38</v>
      </c>
      <c r="F28" s="21">
        <v>41169</v>
      </c>
      <c r="G28" s="8" t="s">
        <v>86</v>
      </c>
      <c r="H28" s="5">
        <v>2095659</v>
      </c>
      <c r="I28" s="5">
        <f t="shared" si="0"/>
        <v>2170264.4604000002</v>
      </c>
      <c r="J28" s="5">
        <v>2600000</v>
      </c>
      <c r="K28" s="5">
        <v>130000</v>
      </c>
      <c r="L28" s="9">
        <f t="shared" si="1"/>
        <v>2730000</v>
      </c>
      <c r="M28" s="9">
        <f>600000-30000</f>
        <v>570000</v>
      </c>
      <c r="N28" s="9">
        <v>400000</v>
      </c>
      <c r="O28" s="9">
        <v>100000</v>
      </c>
      <c r="P28" s="9">
        <v>300000</v>
      </c>
      <c r="Q28" s="9"/>
      <c r="R28" s="16">
        <v>4100000</v>
      </c>
      <c r="S28" s="16">
        <v>5000</v>
      </c>
      <c r="T28" s="16">
        <v>4105000</v>
      </c>
      <c r="U28" s="16">
        <v>121663</v>
      </c>
      <c r="V28" s="16">
        <v>24333</v>
      </c>
      <c r="W28" s="16">
        <v>1000</v>
      </c>
      <c r="X28" s="16"/>
      <c r="Y28" s="16"/>
      <c r="Z28" s="16"/>
      <c r="AA28" s="16">
        <v>10000</v>
      </c>
      <c r="AB28" s="16"/>
      <c r="AC28" s="16"/>
      <c r="AD28" s="16">
        <v>3948004</v>
      </c>
    </row>
    <row r="29" spans="1:30" x14ac:dyDescent="0.2">
      <c r="A29" s="4">
        <v>28</v>
      </c>
      <c r="B29" s="18" t="s">
        <v>87</v>
      </c>
      <c r="C29" s="19" t="s">
        <v>88</v>
      </c>
      <c r="D29" s="11" t="s">
        <v>42</v>
      </c>
      <c r="E29" s="11" t="s">
        <v>33</v>
      </c>
      <c r="F29" s="26">
        <v>42105</v>
      </c>
      <c r="G29" s="20" t="s">
        <v>89</v>
      </c>
      <c r="H29" s="5">
        <v>2081783</v>
      </c>
      <c r="I29" s="5">
        <v>2156000</v>
      </c>
      <c r="J29" s="5">
        <f>(I29*6.5%)+I29</f>
        <v>2296140</v>
      </c>
      <c r="K29" s="5">
        <v>114807</v>
      </c>
      <c r="L29" s="9">
        <f t="shared" si="1"/>
        <v>2410947</v>
      </c>
      <c r="M29" s="9">
        <v>150000</v>
      </c>
      <c r="N29" s="9">
        <v>100000</v>
      </c>
      <c r="O29" s="9">
        <v>100000</v>
      </c>
      <c r="P29" s="9">
        <v>150000</v>
      </c>
      <c r="Q29" s="9"/>
      <c r="R29" s="16">
        <v>2910947</v>
      </c>
      <c r="S29" s="16">
        <v>5000</v>
      </c>
      <c r="T29" s="16">
        <v>2915947</v>
      </c>
      <c r="U29" s="16">
        <v>121663</v>
      </c>
      <c r="V29" s="16">
        <v>24333</v>
      </c>
      <c r="W29" s="16">
        <v>1000</v>
      </c>
      <c r="X29" s="16"/>
      <c r="Y29" s="16"/>
      <c r="Z29" s="16"/>
      <c r="AA29" s="16">
        <v>10000</v>
      </c>
      <c r="AB29" s="16"/>
      <c r="AC29" s="16"/>
      <c r="AD29" s="16">
        <v>2758951</v>
      </c>
    </row>
    <row r="30" spans="1:30" x14ac:dyDescent="0.2">
      <c r="A30" s="4">
        <v>29</v>
      </c>
      <c r="B30" s="18" t="s">
        <v>90</v>
      </c>
      <c r="C30" s="19" t="s">
        <v>91</v>
      </c>
      <c r="D30" s="11" t="s">
        <v>71</v>
      </c>
      <c r="E30" s="11" t="s">
        <v>71</v>
      </c>
      <c r="F30" s="23" t="s">
        <v>92</v>
      </c>
      <c r="G30" s="20"/>
      <c r="H30" s="5">
        <v>2403365</v>
      </c>
      <c r="I30" s="5">
        <f t="shared" si="0"/>
        <v>2488924.7939999998</v>
      </c>
      <c r="J30" s="5">
        <v>2588481</v>
      </c>
      <c r="K30" s="5">
        <v>129424</v>
      </c>
      <c r="L30" s="9">
        <f t="shared" si="1"/>
        <v>2717905</v>
      </c>
      <c r="M30" s="9"/>
      <c r="N30" s="9">
        <f>300000+100000</f>
        <v>400000</v>
      </c>
      <c r="O30" s="9">
        <v>300000</v>
      </c>
      <c r="P30" s="9">
        <v>200000</v>
      </c>
      <c r="Q30" s="9">
        <v>150000</v>
      </c>
      <c r="R30" s="17">
        <v>3767905</v>
      </c>
      <c r="S30" s="17"/>
      <c r="T30" s="17">
        <v>3767905</v>
      </c>
      <c r="U30" s="17">
        <v>121663</v>
      </c>
      <c r="V30" s="17"/>
      <c r="W30" s="17">
        <v>1000</v>
      </c>
      <c r="X30" s="17"/>
      <c r="Y30" s="17"/>
      <c r="Z30" s="17"/>
      <c r="AA30" s="17">
        <v>10000</v>
      </c>
      <c r="AB30" s="17"/>
      <c r="AC30" s="17"/>
      <c r="AD30" s="17">
        <v>3635242</v>
      </c>
    </row>
    <row r="31" spans="1:30" x14ac:dyDescent="0.2">
      <c r="A31" s="4">
        <v>30</v>
      </c>
      <c r="B31" s="5" t="s">
        <v>93</v>
      </c>
      <c r="C31" s="6" t="s">
        <v>94</v>
      </c>
      <c r="D31" s="7" t="s">
        <v>39</v>
      </c>
      <c r="E31" s="7" t="s">
        <v>38</v>
      </c>
      <c r="F31" s="25">
        <v>41022</v>
      </c>
      <c r="G31" s="8" t="s">
        <v>95</v>
      </c>
      <c r="H31" s="5">
        <v>2650000</v>
      </c>
      <c r="I31" s="5">
        <f t="shared" si="0"/>
        <v>2744340</v>
      </c>
      <c r="J31" s="5">
        <f>(I31*4%)+I31</f>
        <v>2854113.6</v>
      </c>
      <c r="K31" s="5">
        <v>142706</v>
      </c>
      <c r="L31" s="9">
        <f t="shared" si="1"/>
        <v>2996819.6</v>
      </c>
      <c r="M31" s="9">
        <v>200000</v>
      </c>
      <c r="N31" s="9">
        <v>100000</v>
      </c>
      <c r="O31" s="9"/>
      <c r="P31" s="9">
        <f>47000-43820+(100000)</f>
        <v>103180</v>
      </c>
      <c r="Q31" s="9"/>
      <c r="R31" s="16">
        <v>3399999.5999999996</v>
      </c>
      <c r="S31" s="16">
        <v>5000</v>
      </c>
      <c r="T31" s="16">
        <v>3404999.5999999996</v>
      </c>
      <c r="U31" s="16">
        <v>121663</v>
      </c>
      <c r="V31" s="16">
        <v>24333</v>
      </c>
      <c r="W31" s="16">
        <v>1000</v>
      </c>
      <c r="X31" s="16"/>
      <c r="Y31" s="16"/>
      <c r="Z31" s="16"/>
      <c r="AA31" s="16">
        <v>10000</v>
      </c>
      <c r="AB31" s="16"/>
      <c r="AC31" s="16"/>
      <c r="AD31" s="16">
        <v>3248003.5999999996</v>
      </c>
    </row>
    <row r="32" spans="1:30" x14ac:dyDescent="0.2">
      <c r="A32" s="4">
        <v>31</v>
      </c>
      <c r="B32" s="6" t="s">
        <v>96</v>
      </c>
      <c r="C32" s="6" t="s">
        <v>97</v>
      </c>
      <c r="D32" s="7" t="s">
        <v>39</v>
      </c>
      <c r="E32" s="7" t="s">
        <v>98</v>
      </c>
      <c r="F32" s="24">
        <v>43833</v>
      </c>
      <c r="G32" s="8"/>
      <c r="H32" s="5"/>
      <c r="I32" s="5"/>
      <c r="J32" s="5">
        <v>2800000</v>
      </c>
      <c r="K32" s="5">
        <v>140000</v>
      </c>
      <c r="L32" s="9">
        <f t="shared" si="1"/>
        <v>2940000</v>
      </c>
      <c r="M32" s="9">
        <f>200000-40000</f>
        <v>160000</v>
      </c>
      <c r="N32" s="9"/>
      <c r="O32" s="9"/>
      <c r="P32" s="9"/>
      <c r="Q32" s="9"/>
      <c r="R32" s="16">
        <v>3100000</v>
      </c>
      <c r="S32" s="16"/>
      <c r="T32" s="16">
        <v>3100000</v>
      </c>
      <c r="U32" s="16">
        <v>121663</v>
      </c>
      <c r="V32" s="16">
        <v>24333</v>
      </c>
      <c r="W32" s="16">
        <v>1000</v>
      </c>
      <c r="X32" s="16"/>
      <c r="Y32" s="16"/>
      <c r="Z32" s="16"/>
      <c r="AA32" s="16">
        <v>10000</v>
      </c>
      <c r="AB32" s="16"/>
      <c r="AC32" s="16"/>
      <c r="AD32" s="16">
        <v>2943004</v>
      </c>
    </row>
    <row r="33" spans="1:30" x14ac:dyDescent="0.2">
      <c r="A33" s="4">
        <v>32</v>
      </c>
      <c r="B33" s="5" t="s">
        <v>99</v>
      </c>
      <c r="C33" s="5" t="s">
        <v>100</v>
      </c>
      <c r="D33" s="7" t="s">
        <v>37</v>
      </c>
      <c r="E33" s="7" t="s">
        <v>98</v>
      </c>
      <c r="F33" s="27">
        <v>45315</v>
      </c>
      <c r="G33" s="8"/>
      <c r="H33" s="5"/>
      <c r="I33" s="5"/>
      <c r="J33" s="7">
        <v>2500000</v>
      </c>
      <c r="K33" s="7">
        <v>125000</v>
      </c>
      <c r="L33" s="9">
        <f t="shared" si="1"/>
        <v>2625000</v>
      </c>
      <c r="M33" s="9">
        <v>200000</v>
      </c>
      <c r="N33" s="9">
        <v>125000</v>
      </c>
      <c r="O33" s="9">
        <v>100000</v>
      </c>
      <c r="P33" s="9">
        <v>100000</v>
      </c>
      <c r="Q33" s="9"/>
      <c r="R33" s="16">
        <v>3150000</v>
      </c>
      <c r="S33" s="16">
        <v>5000</v>
      </c>
      <c r="T33" s="16">
        <v>3155000</v>
      </c>
      <c r="U33" s="16">
        <v>121663</v>
      </c>
      <c r="V33" s="16"/>
      <c r="W33" s="16">
        <v>1000</v>
      </c>
      <c r="X33" s="16"/>
      <c r="Y33" s="16"/>
      <c r="Z33" s="16"/>
      <c r="AA33" s="16">
        <v>10000</v>
      </c>
      <c r="AB33" s="16"/>
      <c r="AC33" s="16"/>
      <c r="AD33" s="16">
        <v>3022337</v>
      </c>
    </row>
    <row r="34" spans="1:30" x14ac:dyDescent="0.2">
      <c r="A34" s="4">
        <v>33</v>
      </c>
      <c r="B34" s="6" t="s">
        <v>101</v>
      </c>
      <c r="C34" s="5" t="s">
        <v>102</v>
      </c>
      <c r="D34" s="7" t="s">
        <v>36</v>
      </c>
      <c r="E34" s="7" t="s">
        <v>30</v>
      </c>
      <c r="F34" s="23">
        <v>45525</v>
      </c>
      <c r="G34" s="8"/>
      <c r="H34" s="5"/>
      <c r="I34" s="5">
        <v>5000000</v>
      </c>
      <c r="J34" s="5">
        <v>5116667</v>
      </c>
      <c r="K34" s="5">
        <v>255833</v>
      </c>
      <c r="L34" s="9">
        <f t="shared" si="1"/>
        <v>5372500</v>
      </c>
      <c r="M34" s="9">
        <v>2000000</v>
      </c>
      <c r="N34" s="9">
        <v>1000000</v>
      </c>
      <c r="O34" s="9">
        <v>500000</v>
      </c>
      <c r="P34" s="12"/>
      <c r="Q34" s="9">
        <f>500000-122500</f>
        <v>377500</v>
      </c>
      <c r="R34" s="16">
        <v>9250000</v>
      </c>
      <c r="S34" s="16">
        <v>5000</v>
      </c>
      <c r="T34" s="16">
        <v>9255000</v>
      </c>
      <c r="U34" s="16"/>
      <c r="V34" s="16">
        <v>24333</v>
      </c>
      <c r="W34" s="16">
        <v>1000</v>
      </c>
      <c r="X34" s="16">
        <v>177650</v>
      </c>
      <c r="Y34" s="16"/>
      <c r="Z34" s="16"/>
      <c r="AA34" s="16">
        <v>10000</v>
      </c>
      <c r="AB34" s="16"/>
      <c r="AC34" s="16">
        <v>5000000</v>
      </c>
      <c r="AD34" s="16">
        <v>4042017</v>
      </c>
    </row>
    <row r="35" spans="1:30" x14ac:dyDescent="0.2">
      <c r="A35" s="4">
        <v>34</v>
      </c>
      <c r="B35" s="5" t="s">
        <v>103</v>
      </c>
      <c r="C35" s="5" t="s">
        <v>104</v>
      </c>
      <c r="D35" s="7" t="s">
        <v>39</v>
      </c>
      <c r="E35" s="7" t="s">
        <v>38</v>
      </c>
      <c r="F35" s="23">
        <v>45790</v>
      </c>
      <c r="G35" s="13"/>
      <c r="H35" s="13"/>
      <c r="I35" s="13"/>
      <c r="J35" s="5">
        <v>2800000</v>
      </c>
      <c r="K35" s="5">
        <v>140000</v>
      </c>
      <c r="L35" s="9">
        <f t="shared" si="1"/>
        <v>2940000</v>
      </c>
      <c r="M35" s="9">
        <v>500000</v>
      </c>
      <c r="N35" s="9">
        <f>200000-40000</f>
        <v>160000</v>
      </c>
      <c r="O35" s="16">
        <v>200000</v>
      </c>
      <c r="P35" s="16"/>
      <c r="Q35" s="16">
        <v>200000</v>
      </c>
      <c r="R35" s="16">
        <v>4000000</v>
      </c>
      <c r="S35" s="16"/>
      <c r="T35" s="16">
        <v>4000000</v>
      </c>
      <c r="U35" s="16"/>
      <c r="V35" s="16"/>
      <c r="W35" s="16">
        <v>1000</v>
      </c>
      <c r="X35" s="16"/>
      <c r="Y35" s="16"/>
      <c r="Z35" s="16"/>
      <c r="AA35" s="16">
        <v>10000</v>
      </c>
      <c r="AB35" s="16"/>
      <c r="AC35" s="16"/>
      <c r="AD35" s="16">
        <v>3989000</v>
      </c>
    </row>
    <row r="36" spans="1:30" x14ac:dyDescent="0.2">
      <c r="A36" s="4">
        <v>35</v>
      </c>
      <c r="B36" s="5" t="s">
        <v>105</v>
      </c>
      <c r="C36" s="5" t="s">
        <v>106</v>
      </c>
      <c r="D36" s="7" t="s">
        <v>107</v>
      </c>
      <c r="E36" s="7" t="s">
        <v>41</v>
      </c>
      <c r="F36" s="24">
        <v>45811</v>
      </c>
      <c r="G36" s="13"/>
      <c r="H36" s="13"/>
      <c r="I36" s="13"/>
      <c r="J36" s="5">
        <v>3400000</v>
      </c>
      <c r="K36" s="5">
        <v>140000</v>
      </c>
      <c r="L36" s="9">
        <v>3570000</v>
      </c>
      <c r="M36" s="9">
        <v>600000</v>
      </c>
      <c r="N36" s="9">
        <v>500000</v>
      </c>
      <c r="O36" s="9">
        <v>250000</v>
      </c>
      <c r="P36" s="9">
        <v>100000</v>
      </c>
      <c r="Q36" s="9">
        <f>150000-70000</f>
        <v>80000</v>
      </c>
      <c r="R36" s="16">
        <v>5100000</v>
      </c>
      <c r="S36" s="16">
        <v>5000</v>
      </c>
      <c r="T36" s="16">
        <v>5105000</v>
      </c>
      <c r="U36" s="16"/>
      <c r="V36" s="16">
        <v>24333</v>
      </c>
      <c r="W36" s="16">
        <v>1000</v>
      </c>
      <c r="X36" s="16"/>
      <c r="Y36" s="16"/>
      <c r="Z36" s="16"/>
      <c r="AA36" s="16">
        <v>10000</v>
      </c>
      <c r="AB36" s="16"/>
      <c r="AC36" s="16"/>
      <c r="AD36" s="16">
        <v>5069667</v>
      </c>
    </row>
    <row r="37" spans="1:30" x14ac:dyDescent="0.2">
      <c r="A37" s="4">
        <v>36</v>
      </c>
      <c r="B37" s="5" t="s">
        <v>108</v>
      </c>
      <c r="C37" s="5" t="s">
        <v>109</v>
      </c>
      <c r="D37" s="7" t="s">
        <v>39</v>
      </c>
      <c r="E37" s="7" t="s">
        <v>38</v>
      </c>
      <c r="F37" s="23">
        <v>45811</v>
      </c>
      <c r="G37" s="13"/>
      <c r="H37" s="13"/>
      <c r="I37" s="13"/>
      <c r="J37" s="5">
        <v>2800000</v>
      </c>
      <c r="K37" s="5">
        <v>140000</v>
      </c>
      <c r="L37" s="9">
        <v>2940000</v>
      </c>
      <c r="M37" s="9">
        <v>200000</v>
      </c>
      <c r="N37" s="9">
        <f>200000-140000</f>
        <v>60000</v>
      </c>
      <c r="O37" s="9">
        <v>200000</v>
      </c>
      <c r="P37" s="16"/>
      <c r="Q37" s="9">
        <v>200000</v>
      </c>
      <c r="R37" s="16">
        <v>3600000</v>
      </c>
      <c r="S37" s="16">
        <v>5000</v>
      </c>
      <c r="T37" s="16">
        <v>3605000</v>
      </c>
      <c r="U37" s="16">
        <v>121663</v>
      </c>
      <c r="V37" s="16"/>
      <c r="W37" s="16">
        <v>1000</v>
      </c>
      <c r="X37" s="16"/>
      <c r="Y37" s="16"/>
      <c r="Z37" s="16"/>
      <c r="AA37" s="16">
        <v>10000</v>
      </c>
      <c r="AB37" s="16"/>
      <c r="AC37" s="16">
        <v>250000</v>
      </c>
      <c r="AD37" s="16">
        <v>3222337</v>
      </c>
    </row>
    <row r="38" spans="1:30" x14ac:dyDescent="0.2">
      <c r="A38" s="4">
        <v>37</v>
      </c>
      <c r="B38" s="5" t="s">
        <v>110</v>
      </c>
      <c r="C38" s="5" t="s">
        <v>111</v>
      </c>
      <c r="D38" s="7" t="s">
        <v>107</v>
      </c>
      <c r="E38" s="7" t="s">
        <v>98</v>
      </c>
      <c r="F38" s="28">
        <v>45827</v>
      </c>
      <c r="G38" s="13"/>
      <c r="H38" s="13"/>
      <c r="I38" s="13"/>
      <c r="J38" s="5">
        <v>2800000</v>
      </c>
      <c r="K38" s="5">
        <v>140000</v>
      </c>
      <c r="L38" s="9">
        <v>2940000</v>
      </c>
      <c r="M38" s="9">
        <v>200000</v>
      </c>
      <c r="N38" s="9">
        <v>500000</v>
      </c>
      <c r="O38" s="16"/>
      <c r="P38" s="16"/>
      <c r="Q38" s="16"/>
      <c r="R38" s="16">
        <v>1213333.3333333333</v>
      </c>
      <c r="S38" s="16"/>
      <c r="T38" s="16">
        <v>1213333.3333333333</v>
      </c>
      <c r="U38" s="16">
        <v>121663</v>
      </c>
      <c r="V38" s="16"/>
      <c r="W38" s="16"/>
      <c r="X38" s="16"/>
      <c r="Y38" s="16"/>
      <c r="Z38" s="16"/>
      <c r="AA38" s="16"/>
      <c r="AB38" s="16"/>
      <c r="AC38" s="16"/>
      <c r="AD38" s="16">
        <v>1091670.3333333333</v>
      </c>
    </row>
    <row r="39" spans="1:30" x14ac:dyDescent="0.2">
      <c r="A39" s="4">
        <v>38</v>
      </c>
      <c r="B39" s="5" t="s">
        <v>112</v>
      </c>
      <c r="C39" s="5" t="s">
        <v>113</v>
      </c>
      <c r="D39" s="7" t="s">
        <v>114</v>
      </c>
      <c r="E39" s="7" t="s">
        <v>33</v>
      </c>
      <c r="F39" s="24">
        <v>45874</v>
      </c>
      <c r="G39" s="13"/>
      <c r="H39" s="13"/>
      <c r="I39" s="13"/>
      <c r="J39" s="5">
        <v>2800000</v>
      </c>
      <c r="K39" s="5">
        <v>140000</v>
      </c>
      <c r="L39" s="9">
        <v>2940000</v>
      </c>
      <c r="M39" s="16"/>
      <c r="N39" s="9">
        <f>500000-65000</f>
        <v>435000</v>
      </c>
      <c r="O39" s="9">
        <v>100000</v>
      </c>
      <c r="P39" s="16"/>
      <c r="Q39" s="9">
        <v>100000</v>
      </c>
      <c r="R39" s="16">
        <v>3575000</v>
      </c>
      <c r="S39" s="16"/>
      <c r="T39" s="16">
        <v>3575000</v>
      </c>
      <c r="U39" s="16"/>
      <c r="V39" s="16"/>
      <c r="W39" s="16">
        <v>1000</v>
      </c>
      <c r="X39" s="16"/>
      <c r="Y39" s="16"/>
      <c r="Z39" s="16"/>
      <c r="AA39" s="16">
        <v>10000</v>
      </c>
      <c r="AB39" s="16"/>
      <c r="AC39" s="16">
        <v>250000</v>
      </c>
      <c r="AD39" s="16">
        <v>3314000</v>
      </c>
    </row>
    <row r="40" spans="1:30" x14ac:dyDescent="0.2">
      <c r="A40" s="4">
        <v>39</v>
      </c>
      <c r="B40" s="5" t="s">
        <v>115</v>
      </c>
      <c r="C40" s="5" t="s">
        <v>116</v>
      </c>
      <c r="D40" s="7" t="s">
        <v>36</v>
      </c>
      <c r="E40" s="7" t="s">
        <v>43</v>
      </c>
      <c r="F40" s="23">
        <v>46041</v>
      </c>
      <c r="G40" s="13"/>
      <c r="H40" s="13"/>
      <c r="I40" s="13"/>
      <c r="J40" s="5">
        <v>4500000</v>
      </c>
      <c r="K40" s="5">
        <v>225000</v>
      </c>
      <c r="L40" s="9">
        <f>J40+K40</f>
        <v>4725000</v>
      </c>
      <c r="M40" s="9">
        <v>1000000</v>
      </c>
      <c r="N40" s="9">
        <v>275000</v>
      </c>
      <c r="O40" s="16"/>
      <c r="P40" s="16"/>
      <c r="Q40" s="16"/>
      <c r="R40" s="16">
        <v>6000000</v>
      </c>
      <c r="S40" s="16">
        <v>5000</v>
      </c>
      <c r="T40" s="16">
        <v>6005000</v>
      </c>
      <c r="U40" s="16"/>
      <c r="V40" s="16"/>
      <c r="W40" s="16">
        <v>1000</v>
      </c>
      <c r="X40" s="16"/>
      <c r="Y40" s="16"/>
      <c r="Z40" s="16"/>
      <c r="AA40" s="16">
        <v>10000</v>
      </c>
      <c r="AB40" s="16"/>
      <c r="AC40" s="16">
        <v>300000</v>
      </c>
      <c r="AD40" s="16">
        <v>5694000</v>
      </c>
    </row>
    <row r="41" spans="1:30" x14ac:dyDescent="0.2">
      <c r="A41" s="4">
        <v>40</v>
      </c>
      <c r="B41" s="5" t="s">
        <v>117</v>
      </c>
      <c r="C41" s="5" t="s">
        <v>118</v>
      </c>
      <c r="D41" s="7" t="s">
        <v>39</v>
      </c>
      <c r="E41" s="7" t="s">
        <v>38</v>
      </c>
      <c r="F41" s="23">
        <v>46043</v>
      </c>
      <c r="G41" s="13"/>
      <c r="H41" s="13"/>
      <c r="I41" s="13"/>
      <c r="J41" s="5">
        <v>2800000</v>
      </c>
      <c r="K41" s="5">
        <v>140000</v>
      </c>
      <c r="L41" s="9">
        <f>J41+K41</f>
        <v>2940000</v>
      </c>
      <c r="M41" s="9">
        <v>60000</v>
      </c>
      <c r="N41" s="16">
        <v>250000</v>
      </c>
      <c r="O41" s="16"/>
      <c r="P41" s="16"/>
      <c r="Q41" s="16"/>
      <c r="R41" s="16">
        <v>3500000</v>
      </c>
      <c r="S41" s="16">
        <v>5000</v>
      </c>
      <c r="T41" s="16">
        <v>3505000</v>
      </c>
      <c r="U41" s="16"/>
      <c r="V41" s="16"/>
      <c r="W41" s="16">
        <v>1000</v>
      </c>
      <c r="X41" s="16"/>
      <c r="Y41" s="16"/>
      <c r="Z41" s="16"/>
      <c r="AA41" s="16">
        <v>10000</v>
      </c>
      <c r="AB41" s="16"/>
      <c r="AC41" s="16"/>
      <c r="AD41" s="16">
        <v>3494000</v>
      </c>
    </row>
    <row r="42" spans="1:30" x14ac:dyDescent="0.2">
      <c r="A42" s="4">
        <v>41</v>
      </c>
      <c r="B42" s="5" t="s">
        <v>119</v>
      </c>
      <c r="C42" s="5" t="s">
        <v>120</v>
      </c>
      <c r="D42" s="7" t="s">
        <v>42</v>
      </c>
      <c r="E42" s="7" t="s">
        <v>38</v>
      </c>
      <c r="F42" s="24">
        <v>46113</v>
      </c>
      <c r="G42" s="13"/>
      <c r="H42" s="13"/>
      <c r="I42" s="13"/>
      <c r="J42" s="5"/>
      <c r="K42" s="5"/>
      <c r="L42" s="16">
        <v>4000000</v>
      </c>
      <c r="M42" s="9"/>
      <c r="N42" s="16"/>
      <c r="O42" s="16"/>
      <c r="P42" s="16"/>
      <c r="Q42" s="16"/>
      <c r="R42" s="16">
        <v>4000000</v>
      </c>
      <c r="S42" s="16">
        <v>5000</v>
      </c>
      <c r="T42" s="16">
        <v>4005000</v>
      </c>
      <c r="U42" s="16"/>
      <c r="V42" s="16"/>
      <c r="W42" s="16">
        <v>1000</v>
      </c>
      <c r="X42" s="16"/>
      <c r="Y42" s="16"/>
      <c r="Z42" s="16"/>
      <c r="AA42" s="16">
        <v>10000</v>
      </c>
      <c r="AB42" s="16"/>
      <c r="AC42" s="16"/>
      <c r="AD42" s="16">
        <v>3994000</v>
      </c>
    </row>
    <row r="43" spans="1:30" x14ac:dyDescent="0.2">
      <c r="A43" s="4">
        <v>42</v>
      </c>
      <c r="B43" s="5" t="s">
        <v>121</v>
      </c>
      <c r="C43" s="5" t="s">
        <v>122</v>
      </c>
      <c r="D43" s="7" t="s">
        <v>78</v>
      </c>
      <c r="E43" s="7" t="s">
        <v>98</v>
      </c>
      <c r="F43" s="24">
        <v>46120</v>
      </c>
      <c r="G43" s="13"/>
      <c r="H43" s="13"/>
      <c r="I43" s="13"/>
      <c r="J43" s="5"/>
      <c r="K43" s="5"/>
      <c r="L43" s="16">
        <v>2700000</v>
      </c>
      <c r="M43" s="9"/>
      <c r="N43" s="16"/>
      <c r="O43" s="16"/>
      <c r="P43" s="16"/>
      <c r="Q43" s="16"/>
      <c r="R43" s="16">
        <v>2700000</v>
      </c>
      <c r="S43" s="16">
        <v>5000</v>
      </c>
      <c r="T43" s="16">
        <v>2705000</v>
      </c>
      <c r="U43" s="16"/>
      <c r="V43" s="16"/>
      <c r="W43" s="16">
        <v>1000</v>
      </c>
      <c r="X43" s="16"/>
      <c r="Y43" s="16"/>
      <c r="Z43" s="16"/>
      <c r="AA43" s="16">
        <v>10000</v>
      </c>
      <c r="AB43" s="16"/>
      <c r="AC43" s="16"/>
      <c r="AD43" s="16">
        <v>2694000</v>
      </c>
    </row>
    <row r="44" spans="1:30" x14ac:dyDescent="0.2">
      <c r="A44" s="4">
        <v>43</v>
      </c>
      <c r="B44" s="5" t="s">
        <v>123</v>
      </c>
      <c r="C44" s="5" t="s">
        <v>124</v>
      </c>
      <c r="D44" s="7" t="s">
        <v>125</v>
      </c>
      <c r="E44" s="7" t="s">
        <v>125</v>
      </c>
      <c r="F44" s="24">
        <v>46147</v>
      </c>
      <c r="G44" s="14"/>
      <c r="H44" s="5"/>
      <c r="I44" s="5"/>
      <c r="J44" s="7"/>
      <c r="K44" s="7"/>
      <c r="L44" s="9">
        <v>3000000</v>
      </c>
      <c r="M44" s="9"/>
      <c r="N44" s="12"/>
      <c r="O44" s="9"/>
      <c r="P44" s="9"/>
      <c r="Q44" s="9"/>
      <c r="R44" s="9">
        <v>3000000</v>
      </c>
      <c r="S44" s="9">
        <v>5000</v>
      </c>
      <c r="T44" s="9">
        <v>3005000</v>
      </c>
      <c r="U44" s="9"/>
      <c r="V44" s="9"/>
      <c r="W44" s="9">
        <v>1000</v>
      </c>
      <c r="X44" s="9"/>
      <c r="Y44" s="9"/>
      <c r="Z44" s="9"/>
      <c r="AA44" s="9">
        <v>10000</v>
      </c>
      <c r="AB44" s="9"/>
      <c r="AC44" s="9"/>
      <c r="AD44" s="9">
        <v>2994000</v>
      </c>
    </row>
    <row r="45" spans="1:30" x14ac:dyDescent="0.2">
      <c r="A45" s="4">
        <v>44</v>
      </c>
      <c r="B45" s="5" t="s">
        <v>126</v>
      </c>
      <c r="C45" s="6" t="s">
        <v>127</v>
      </c>
      <c r="D45" s="7" t="s">
        <v>128</v>
      </c>
      <c r="E45" s="7" t="s">
        <v>129</v>
      </c>
      <c r="F45" s="21">
        <v>40988</v>
      </c>
      <c r="G45" s="8" t="s">
        <v>130</v>
      </c>
      <c r="H45" s="5">
        <v>2337598</v>
      </c>
      <c r="I45" s="5">
        <f>H45+H45*3.56%</f>
        <v>2420816.4887999999</v>
      </c>
      <c r="J45" s="5">
        <v>2517649</v>
      </c>
      <c r="K45" s="5">
        <v>125882</v>
      </c>
      <c r="L45" s="9">
        <f>J45+K45</f>
        <v>2643531</v>
      </c>
      <c r="M45" s="9">
        <v>250000</v>
      </c>
      <c r="N45" s="9">
        <v>200000</v>
      </c>
      <c r="O45" s="9">
        <v>100000</v>
      </c>
      <c r="P45" s="9">
        <v>100000</v>
      </c>
      <c r="Q45" s="9"/>
      <c r="R45" s="16">
        <v>3293531</v>
      </c>
      <c r="S45" s="16">
        <v>5000</v>
      </c>
      <c r="T45" s="16">
        <v>3298531</v>
      </c>
      <c r="U45" s="16">
        <v>121663</v>
      </c>
      <c r="V45" s="16">
        <v>24333</v>
      </c>
      <c r="W45" s="16">
        <v>1000</v>
      </c>
      <c r="X45" s="16"/>
      <c r="Y45" s="16"/>
      <c r="Z45" s="16"/>
      <c r="AA45" s="16">
        <v>10000</v>
      </c>
      <c r="AB45" s="16"/>
      <c r="AC45" s="16">
        <v>200000</v>
      </c>
      <c r="AD45" s="16">
        <v>2941535</v>
      </c>
    </row>
    <row r="46" spans="1:30" x14ac:dyDescent="0.2">
      <c r="A46" s="4">
        <v>45</v>
      </c>
      <c r="B46" s="5" t="s">
        <v>131</v>
      </c>
      <c r="C46" s="6" t="s">
        <v>132</v>
      </c>
      <c r="D46" s="7" t="s">
        <v>128</v>
      </c>
      <c r="E46" s="7" t="s">
        <v>128</v>
      </c>
      <c r="F46" s="21">
        <v>41556</v>
      </c>
      <c r="G46" s="8" t="s">
        <v>133</v>
      </c>
      <c r="H46" s="5">
        <v>2096095</v>
      </c>
      <c r="I46" s="5">
        <f>H46+H46*3.56%</f>
        <v>2170715.9819999998</v>
      </c>
      <c r="J46" s="5">
        <f>(I46*4%)+I46</f>
        <v>2257544.6212799996</v>
      </c>
      <c r="K46" s="5">
        <v>112877</v>
      </c>
      <c r="L46" s="9">
        <f>J46+K46</f>
        <v>2370421.6212799996</v>
      </c>
      <c r="M46" s="9"/>
      <c r="N46" s="9">
        <v>200000</v>
      </c>
      <c r="O46" s="9"/>
      <c r="P46" s="9"/>
      <c r="Q46" s="9"/>
      <c r="R46" s="16">
        <v>2570421.6212799996</v>
      </c>
      <c r="S46" s="16">
        <v>5000</v>
      </c>
      <c r="T46" s="16">
        <v>2575421.6212799996</v>
      </c>
      <c r="U46" s="16">
        <v>121663</v>
      </c>
      <c r="V46" s="16"/>
      <c r="W46" s="16">
        <v>1000</v>
      </c>
      <c r="X46" s="16"/>
      <c r="Y46" s="16"/>
      <c r="Z46" s="16"/>
      <c r="AA46" s="16">
        <v>10000</v>
      </c>
      <c r="AB46" s="16"/>
      <c r="AC46" s="16"/>
      <c r="AD46" s="16">
        <v>2442758.6212799996</v>
      </c>
    </row>
    <row r="47" spans="1:30" x14ac:dyDescent="0.2">
      <c r="A47" s="4">
        <v>46</v>
      </c>
      <c r="B47" s="5" t="s">
        <v>134</v>
      </c>
      <c r="C47" s="6" t="s">
        <v>135</v>
      </c>
      <c r="D47" s="7" t="s">
        <v>128</v>
      </c>
      <c r="E47" s="7" t="s">
        <v>128</v>
      </c>
      <c r="F47" s="21">
        <v>42275</v>
      </c>
      <c r="G47" s="8" t="s">
        <v>136</v>
      </c>
      <c r="H47" s="5">
        <v>2096095</v>
      </c>
      <c r="I47" s="5">
        <f>H47+H47*3.56%</f>
        <v>2170715.9819999998</v>
      </c>
      <c r="J47" s="5">
        <f>(I47*4%)+I47</f>
        <v>2257544.6212799996</v>
      </c>
      <c r="K47" s="5">
        <v>112877</v>
      </c>
      <c r="L47" s="9">
        <f>J47+K47</f>
        <v>2370421.6212799996</v>
      </c>
      <c r="M47" s="9"/>
      <c r="N47" s="9">
        <v>200000</v>
      </c>
      <c r="O47" s="9"/>
      <c r="P47" s="9"/>
      <c r="Q47" s="9"/>
      <c r="R47" s="16">
        <v>2570421.6212799996</v>
      </c>
      <c r="S47" s="16">
        <v>5000</v>
      </c>
      <c r="T47" s="16">
        <v>2575421.6212799996</v>
      </c>
      <c r="U47" s="16">
        <v>121663</v>
      </c>
      <c r="V47" s="16"/>
      <c r="W47" s="16">
        <v>1000</v>
      </c>
      <c r="X47" s="16"/>
      <c r="Y47" s="16"/>
      <c r="Z47" s="16"/>
      <c r="AA47" s="16">
        <v>10000</v>
      </c>
      <c r="AB47" s="16"/>
      <c r="AC47" s="16">
        <v>200000</v>
      </c>
      <c r="AD47" s="16">
        <v>2242758.6212799996</v>
      </c>
    </row>
    <row r="48" spans="1:30" x14ac:dyDescent="0.2">
      <c r="A48" s="4">
        <v>47</v>
      </c>
      <c r="B48" s="5" t="s">
        <v>137</v>
      </c>
      <c r="C48" s="6" t="s">
        <v>138</v>
      </c>
      <c r="D48" s="7" t="s">
        <v>128</v>
      </c>
      <c r="E48" s="7" t="s">
        <v>128</v>
      </c>
      <c r="F48" s="21">
        <v>42292</v>
      </c>
      <c r="G48" s="8" t="s">
        <v>139</v>
      </c>
      <c r="H48" s="5">
        <v>2096095</v>
      </c>
      <c r="I48" s="5">
        <f>H48+H48*3.56%</f>
        <v>2170715.9819999998</v>
      </c>
      <c r="J48" s="5">
        <f>(I48*4%)+I48</f>
        <v>2257544.6212799996</v>
      </c>
      <c r="K48" s="5">
        <v>112877</v>
      </c>
      <c r="L48" s="9">
        <f>J48+K48</f>
        <v>2370421.6212799996</v>
      </c>
      <c r="M48" s="9"/>
      <c r="N48" s="9">
        <v>200000</v>
      </c>
      <c r="O48" s="9"/>
      <c r="P48" s="9"/>
      <c r="Q48" s="9"/>
      <c r="R48" s="16">
        <v>2570421.6212799996</v>
      </c>
      <c r="S48" s="16">
        <v>5000</v>
      </c>
      <c r="T48" s="16">
        <v>2575421.6212799996</v>
      </c>
      <c r="U48" s="16">
        <v>121663</v>
      </c>
      <c r="V48" s="16"/>
      <c r="W48" s="16">
        <v>1000</v>
      </c>
      <c r="X48" s="16"/>
      <c r="Y48" s="16"/>
      <c r="Z48" s="16"/>
      <c r="AA48" s="16">
        <v>10000</v>
      </c>
      <c r="AB48" s="16"/>
      <c r="AC48" s="16">
        <v>200000</v>
      </c>
      <c r="AD48" s="16">
        <v>2242758.6212799996</v>
      </c>
    </row>
    <row r="49" spans="1:30" x14ac:dyDescent="0.2">
      <c r="A49" s="4">
        <v>48</v>
      </c>
      <c r="B49" s="13"/>
      <c r="C49" s="6" t="s">
        <v>140</v>
      </c>
      <c r="D49" s="7" t="s">
        <v>141</v>
      </c>
      <c r="E49" s="7" t="s">
        <v>141</v>
      </c>
      <c r="F49" s="13"/>
      <c r="G49" s="13"/>
      <c r="H49" s="13"/>
      <c r="I49" s="13"/>
      <c r="J49" s="13"/>
      <c r="K49" s="13"/>
      <c r="L49" s="16">
        <v>35000000</v>
      </c>
      <c r="M49" s="16"/>
      <c r="N49" s="16"/>
      <c r="O49" s="16"/>
      <c r="P49" s="16"/>
      <c r="Q49" s="16"/>
      <c r="R49" s="16">
        <v>35000000</v>
      </c>
      <c r="S49" s="16"/>
      <c r="T49" s="16">
        <v>35000000</v>
      </c>
      <c r="U49" s="16"/>
      <c r="V49" s="16"/>
      <c r="W49" s="16"/>
      <c r="X49" s="16"/>
      <c r="Y49" s="16"/>
      <c r="Z49" s="16"/>
      <c r="AA49" s="16"/>
      <c r="AB49" s="16"/>
      <c r="AC49" s="16"/>
      <c r="AD49" s="16">
        <v>35000000</v>
      </c>
    </row>
    <row r="50" spans="1:30" x14ac:dyDescent="0.2">
      <c r="A50" s="4">
        <v>49</v>
      </c>
      <c r="B50" s="13"/>
      <c r="C50" s="6" t="s">
        <v>142</v>
      </c>
      <c r="D50" s="7" t="s">
        <v>143</v>
      </c>
      <c r="E50" s="7" t="s">
        <v>143</v>
      </c>
      <c r="F50" s="13"/>
      <c r="G50" s="13"/>
      <c r="H50" s="13"/>
      <c r="I50" s="13"/>
      <c r="J50" s="13"/>
      <c r="K50" s="13"/>
      <c r="L50" s="16">
        <v>30000000</v>
      </c>
      <c r="M50" s="16"/>
      <c r="N50" s="16"/>
      <c r="O50" s="16"/>
      <c r="P50" s="16"/>
      <c r="Q50" s="16"/>
      <c r="R50" s="16">
        <v>30000000</v>
      </c>
      <c r="S50" s="16"/>
      <c r="T50" s="16">
        <v>30000000</v>
      </c>
      <c r="U50" s="16"/>
      <c r="V50" s="16"/>
      <c r="W50" s="16"/>
      <c r="X50" s="16"/>
      <c r="Y50" s="16"/>
      <c r="Z50" s="16"/>
      <c r="AA50" s="16"/>
      <c r="AB50" s="16"/>
      <c r="AC50" s="16"/>
      <c r="AD50" s="16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ajimas</dc:creator>
  <cp:lastModifiedBy>ajimas</cp:lastModifiedBy>
  <dcterms:created xsi:type="dcterms:W3CDTF">2026-07-22T08:09:23Z</dcterms:created>
  <dcterms:modified xsi:type="dcterms:W3CDTF">2026-07-22T09:10:57Z</dcterms:modified>
</cp:coreProperties>
</file>